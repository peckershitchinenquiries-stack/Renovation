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Week-by-Week Plan" sheetId="1" r:id="rId5"/>
    <sheet name="Summary" sheetId="2" r:id="rId6"/>
    <sheet name="Lookups" sheetId="3" r:id="rId7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<sst xmlns="http://schemas.openxmlformats.org/spreadsheetml/2006/main" uniqueCount="125">
  <si>
    <t>Renovation Project Spend Tracker (Fill As You Go)</t>
  </si>
  <si>
    <t>Project Address:</t>
  </si>
  <si>
    <t>46 Glenferrie Road, St Albans, AL1 4JU</t>
  </si>
  <si>
    <t>Assumptions:</t>
  </si>
  <si>
    <t>Fill in the details as you go: Task/Description, Category, Trade, supplier + receipt details, then enter hours/qty and unit costs. Totals update automatically. Edit labour rates in Lookups.</t>
  </si>
  <si>
    <t>Week #</t>
  </si>
  <si>
    <t>Task / Description</t>
  </si>
  <si>
    <t>Category</t>
  </si>
  <si>
    <t>Trade</t>
  </si>
  <si>
    <t>Location/Room</t>
  </si>
  <si>
    <t>Dependencies/Notes</t>
  </si>
  <si>
    <t>Supplier</t>
  </si>
  <si>
    <t>Invoice/Receipt Ref</t>
  </si>
  <si>
    <t>Paid Date</t>
  </si>
  <si>
    <t>Payment Method</t>
  </si>
  <si>
    <t>Hours (Labour)</t>
  </si>
  <si>
    <t>Rate (£/hr)</t>
  </si>
  <si>
    <t>Labour Cost (£)</t>
  </si>
  <si>
    <t>Qty (Materials)</t>
  </si>
  <si>
    <t>Unit Cost (£)</t>
  </si>
  <si>
    <t>Materials Cost (£)</t>
  </si>
  <si>
    <t>VAT</t>
  </si>
  <si>
    <t>Total incl. VAT (£)</t>
  </si>
  <si>
    <t>Status</t>
  </si>
  <si>
    <t>Week 1</t>
  </si>
  <si>
    <t>Labourers</t>
  </si>
  <si>
    <t>Labour</t>
  </si>
  <si>
    <t>General Builder</t>
  </si>
  <si>
    <t>Clearence - 6 man days</t>
  </si>
  <si>
    <t>Friday 27/2</t>
  </si>
  <si>
    <t>Cash</t>
  </si>
  <si>
    <t>Planned</t>
  </si>
  <si>
    <t>DMC - Dave</t>
  </si>
  <si>
    <t>Dave first day on site</t>
  </si>
  <si>
    <t>Adam - Clearance</t>
  </si>
  <si>
    <t>Skip/Disposal</t>
  </si>
  <si>
    <t>Rubbish Removal</t>
  </si>
  <si>
    <t>20%</t>
  </si>
  <si>
    <t>Week 2</t>
  </si>
  <si>
    <t>Clearence / back to brick - 9 d</t>
  </si>
  <si>
    <t>Friday 6/3</t>
  </si>
  <si>
    <t>Week 3</t>
  </si>
  <si>
    <t>Clearence / back to brick - 7 d</t>
  </si>
  <si>
    <t>Friday 13/3</t>
  </si>
  <si>
    <t>0%</t>
  </si>
  <si>
    <t>Week 4</t>
  </si>
  <si>
    <t xml:space="preserve">Clearance 6d </t>
  </si>
  <si>
    <t>Friday 20/3</t>
  </si>
  <si>
    <t>Week 5</t>
  </si>
  <si>
    <t xml:space="preserve">Skip </t>
  </si>
  <si>
    <t>Stevenage Skips</t>
  </si>
  <si>
    <t>Friday 27/3</t>
  </si>
  <si>
    <t>Dave Barker (Groundwork)</t>
  </si>
  <si>
    <t>Master Mix</t>
  </si>
  <si>
    <t>Materials</t>
  </si>
  <si>
    <t>Other</t>
  </si>
  <si>
    <t>Debit Card</t>
  </si>
  <si>
    <t>Week 6</t>
  </si>
  <si>
    <t>Friday 3/4</t>
  </si>
  <si>
    <t>Dave Builder</t>
  </si>
  <si>
    <t>Steels</t>
  </si>
  <si>
    <t>Week 7</t>
  </si>
  <si>
    <t>SDE Drainage</t>
  </si>
  <si>
    <t>Friday 10/4</t>
  </si>
  <si>
    <t>Credit Card</t>
  </si>
  <si>
    <t>FRIDAY 10/4</t>
  </si>
  <si>
    <t>Dave</t>
  </si>
  <si>
    <t>£300 PAID FROM OWED</t>
  </si>
  <si>
    <t>Week 8</t>
  </si>
  <si>
    <t>dave</t>
  </si>
  <si>
    <t>£400 paid from whats owed</t>
  </si>
  <si>
    <t>Owen Brickwork</t>
  </si>
  <si>
    <t>1 day - to DPC</t>
  </si>
  <si>
    <t>Week 9</t>
  </si>
  <si>
    <t>all brickwork completed</t>
  </si>
  <si>
    <t>steels in</t>
  </si>
  <si>
    <t>steels help plus disposal</t>
  </si>
  <si>
    <t>Toby</t>
  </si>
  <si>
    <t>Toby cleared out huge earth pile</t>
  </si>
  <si>
    <t>Week 10</t>
  </si>
  <si>
    <t>Week 11</t>
  </si>
  <si>
    <t>Week 12</t>
  </si>
  <si>
    <t>Scaffold</t>
  </si>
  <si>
    <t>Scaffolder</t>
  </si>
  <si>
    <t>Nick Loft</t>
  </si>
  <si>
    <t>Week 13</t>
  </si>
  <si>
    <t>Week 14</t>
  </si>
  <si>
    <t>Week 15</t>
  </si>
  <si>
    <t>Lawsons</t>
  </si>
  <si>
    <t>Week 16</t>
  </si>
  <si>
    <t>Week 17</t>
  </si>
  <si>
    <t>Week 18</t>
  </si>
  <si>
    <t>Week 19</t>
  </si>
  <si>
    <t>Week 20</t>
  </si>
  <si>
    <t>Week 21</t>
  </si>
  <si>
    <t>Week 22</t>
  </si>
  <si>
    <t>Grand Totals:</t>
  </si>
  <si>
    <t>Project Summary</t>
  </si>
  <si>
    <t>By Week (Totals)</t>
  </si>
  <si>
    <t>Labour (£)</t>
  </si>
  <si>
    <t>Materials (£)</t>
  </si>
  <si>
    <t>Completion % (manual)</t>
  </si>
  <si>
    <t>Controls</t>
  </si>
  <si>
    <t>Target Budget (incl. VAT)</t>
  </si>
  <si>
    <t>Forecast Total (incl. VAT)</t>
  </si>
  <si>
    <t>Variance (Forecast - Budget)</t>
  </si>
  <si>
    <t>Contingency %</t>
  </si>
  <si>
    <t>Contingency Amount</t>
  </si>
  <si>
    <t>Forecast + Contingency</t>
  </si>
  <si>
    <t>How to use:</t>
  </si>
  <si>
    <t>1) In 'Week-by-Week Plan', update each task with accurate hours/quantities and unit costs.
2) Choose Category, Trade, VAT and Status from dropdowns.
3) 'Summary' auto-aggregates totals by week and overall forecast.
Tip: Duplicate/insert new rows as needed; keep formulas consistent.</t>
  </si>
  <si>
    <t>Default Labour Rate (£/hr)</t>
  </si>
  <si>
    <t>Default Markup %</t>
  </si>
  <si>
    <t>Carpenter/Joiner</t>
  </si>
  <si>
    <t>Plumber</t>
  </si>
  <si>
    <t>Electrician</t>
  </si>
  <si>
    <t>Plasterer</t>
  </si>
  <si>
    <t>Tiler</t>
  </si>
  <si>
    <t>Decorator</t>
  </si>
  <si>
    <t>Roofer</t>
  </si>
  <si>
    <t>Groundworker</t>
  </si>
  <si>
    <t>Kitchen Fitter</t>
  </si>
  <si>
    <t>Bathroom Fitter</t>
  </si>
  <si>
    <t>Glazier</t>
  </si>
  <si>
    <t>Flooring Installer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</si>
</sst>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£&quot;#,##0.00"/>
  </numFmts>
  <fonts count="9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6"/>
      <color indexed="9"/>
      <name val="Calibri"/>
    </font>
    <font>
      <b val="1"/>
      <sz val="11"/>
      <color indexed="8"/>
      <name val="Calibri"/>
    </font>
    <font>
      <b val="1"/>
      <sz val="11"/>
      <color indexed="9"/>
      <name val="Calibri"/>
    </font>
    <font>
      <b val="1"/>
      <sz val="12"/>
      <color indexed="8"/>
      <name val="Calibri"/>
    </font>
    <font>
      <b val="1"/>
      <sz val="11"/>
      <color indexed="10"/>
      <name val="Calibri"/>
    </font>
    <font>
      <b val="1"/>
      <sz val="14"/>
      <color indexed="9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9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center" wrapText="1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vertical="center" wrapText="1"/>
    </xf>
    <xf numFmtId="49" fontId="0" fillId="3" borderId="3" applyNumberFormat="1" applyFont="1" applyFill="1" applyBorder="1" applyAlignment="1" applyProtection="0">
      <alignment vertical="center" wrapText="1"/>
    </xf>
    <xf numFmtId="0" fontId="0" fillId="3" borderId="3" applyNumberFormat="0" applyFont="1" applyFill="1" applyBorder="1" applyAlignment="1" applyProtection="0">
      <alignment vertical="center" wrapText="1"/>
    </xf>
    <xf numFmtId="49" fontId="4" fillId="3" borderId="3" applyNumberFormat="1" applyFont="1" applyFill="1" applyBorder="1" applyAlignment="1" applyProtection="0">
      <alignment vertical="center" wrapText="1"/>
    </xf>
    <xf numFmtId="0" fontId="0" borderId="5" applyNumberFormat="0" applyFont="1" applyFill="0" applyBorder="1" applyAlignment="1" applyProtection="0">
      <alignment vertical="bottom"/>
    </xf>
    <xf numFmtId="49" fontId="5" fillId="2" borderId="6" applyNumberFormat="1" applyFont="1" applyFill="1" applyBorder="1" applyAlignment="1" applyProtection="0">
      <alignment horizontal="center" vertical="center" wrapText="1"/>
    </xf>
    <xf numFmtId="49" fontId="6" fillId="4" borderId="6" applyNumberFormat="1" applyFont="1" applyFill="1" applyBorder="1" applyAlignment="1" applyProtection="0">
      <alignment vertical="center"/>
    </xf>
    <xf numFmtId="0" fontId="0" borderId="7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0" fontId="0" fillId="3" borderId="6" applyNumberFormat="1" applyFont="1" applyFill="1" applyBorder="1" applyAlignment="1" applyProtection="0">
      <alignment horizontal="center" vertical="center" wrapText="1"/>
    </xf>
    <xf numFmtId="49" fontId="0" fillId="3" borderId="6" applyNumberFormat="1" applyFont="1" applyFill="1" applyBorder="1" applyAlignment="1" applyProtection="0">
      <alignment vertical="top" wrapText="1"/>
    </xf>
    <xf numFmtId="49" fontId="0" fillId="3" borderId="6" applyNumberFormat="1" applyFont="1" applyFill="1" applyBorder="1" applyAlignment="1" applyProtection="0">
      <alignment horizontal="center" vertical="center" wrapText="1"/>
    </xf>
    <xf numFmtId="0" fontId="0" fillId="3" borderId="6" applyNumberFormat="0" applyFont="1" applyFill="1" applyBorder="1" applyAlignment="1" applyProtection="0">
      <alignment vertical="top" wrapText="1"/>
    </xf>
    <xf numFmtId="0" fontId="0" borderId="10" applyNumberFormat="0" applyFont="1" applyFill="0" applyBorder="1" applyAlignment="1" applyProtection="0">
      <alignment vertical="bottom"/>
    </xf>
    <xf numFmtId="0" fontId="0" borderId="11" applyNumberFormat="0" applyFont="1" applyFill="0" applyBorder="1" applyAlignment="1" applyProtection="0">
      <alignment vertical="bottom"/>
    </xf>
    <xf numFmtId="49" fontId="0" borderId="11" applyNumberFormat="1" applyFont="1" applyFill="0" applyBorder="1" applyAlignment="1" applyProtection="0">
      <alignment vertical="bottom"/>
    </xf>
    <xf numFmtId="49" fontId="0" borderId="12" applyNumberFormat="1" applyFont="1" applyFill="0" applyBorder="1" applyAlignment="1" applyProtection="0">
      <alignment vertical="bottom"/>
    </xf>
    <xf numFmtId="59" fontId="0" fillId="3" borderId="6" applyNumberFormat="1" applyFont="1" applyFill="1" applyBorder="1" applyAlignment="1" applyProtection="0">
      <alignment vertical="top" wrapText="1"/>
    </xf>
    <xf numFmtId="9" fontId="0" fillId="3" borderId="6" applyNumberFormat="1" applyFont="1" applyFill="1" applyBorder="1" applyAlignment="1" applyProtection="0">
      <alignment horizontal="center" vertical="center" wrapText="1"/>
    </xf>
    <xf numFmtId="0" fontId="0" borderId="13" applyNumberFormat="0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49" fontId="0" borderId="14" applyNumberFormat="1" applyFont="1" applyFill="0" applyBorder="1" applyAlignment="1" applyProtection="0">
      <alignment vertical="bottom"/>
    </xf>
    <xf numFmtId="0" fontId="0" fillId="3" borderId="6" applyNumberFormat="0" applyFont="1" applyFill="1" applyBorder="1" applyAlignment="1" applyProtection="0">
      <alignment horizontal="center" vertical="center" wrapText="1"/>
    </xf>
    <xf numFmtId="14" fontId="0" borderId="3" applyNumberFormat="1" applyFont="1" applyFill="0" applyBorder="1" applyAlignment="1" applyProtection="0">
      <alignment vertical="bottom"/>
    </xf>
    <xf numFmtId="0" fontId="0" borderId="14" applyNumberFormat="0" applyFont="1" applyFill="0" applyBorder="1" applyAlignment="1" applyProtection="0">
      <alignment vertical="bottom"/>
    </xf>
    <xf numFmtId="0" fontId="0" borderId="15" applyNumberFormat="0" applyFont="1" applyFill="0" applyBorder="1" applyAlignment="1" applyProtection="0">
      <alignment vertical="bottom"/>
    </xf>
    <xf numFmtId="14" fontId="0" borderId="5" applyNumberFormat="1" applyFont="1" applyFill="0" applyBorder="1" applyAlignment="1" applyProtection="0">
      <alignment vertical="bottom"/>
    </xf>
    <xf numFmtId="0" fontId="0" borderId="16" applyNumberFormat="0" applyFont="1" applyFill="0" applyBorder="1" applyAlignment="1" applyProtection="0">
      <alignment vertical="bottom"/>
    </xf>
    <xf numFmtId="49" fontId="0" fillId="3" borderId="17" applyNumberFormat="1" applyFont="1" applyFill="1" applyBorder="1" applyAlignment="1" applyProtection="0">
      <alignment vertical="top" wrapText="1"/>
    </xf>
    <xf numFmtId="49" fontId="0" fillId="3" borderId="18" applyNumberFormat="1" applyFont="1" applyFill="1" applyBorder="1" applyAlignment="1" applyProtection="0">
      <alignment vertical="top" wrapText="1"/>
    </xf>
    <xf numFmtId="14" fontId="0" borderId="11" applyNumberFormat="1" applyFont="1" applyFill="0" applyBorder="1" applyAlignment="1" applyProtection="0">
      <alignment vertical="bottom"/>
    </xf>
    <xf numFmtId="0" fontId="0" borderId="12" applyNumberFormat="0" applyFont="1" applyFill="0" applyBorder="1" applyAlignment="1" applyProtection="0">
      <alignment vertical="bottom"/>
    </xf>
    <xf numFmtId="49" fontId="0" fillId="3" borderId="13" applyNumberFormat="1" applyFont="1" applyFill="1" applyBorder="1" applyAlignment="1" applyProtection="0">
      <alignment vertical="top" wrapText="1"/>
    </xf>
    <xf numFmtId="49" fontId="4" fillId="5" borderId="6" applyNumberFormat="1" applyFont="1" applyFill="1" applyBorder="1" applyAlignment="1" applyProtection="0">
      <alignment vertical="center" wrapText="1"/>
    </xf>
    <xf numFmtId="0" fontId="4" fillId="5" borderId="6" applyNumberFormat="0" applyFont="1" applyFill="1" applyBorder="1" applyAlignment="1" applyProtection="0">
      <alignment vertical="center" wrapText="1"/>
    </xf>
    <xf numFmtId="59" fontId="7" fillId="5" borderId="6" applyNumberFormat="1" applyFont="1" applyFill="1" applyBorder="1" applyAlignment="1" applyProtection="0">
      <alignment vertical="center" wrapText="1"/>
    </xf>
    <xf numFmtId="59" fontId="0" fillId="5" borderId="6" applyNumberFormat="1" applyFont="1" applyFill="1" applyBorder="1" applyAlignment="1" applyProtection="0">
      <alignment vertical="center" wrapText="1"/>
    </xf>
    <xf numFmtId="49" fontId="0" borderId="13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8" fillId="2" borderId="1" applyNumberFormat="1" applyFont="1" applyFill="1" applyBorder="1" applyAlignment="1" applyProtection="0">
      <alignment horizontal="center" vertical="center" wrapText="1"/>
    </xf>
    <xf numFmtId="49" fontId="4" borderId="4" applyNumberFormat="1" applyFont="1" applyFill="0" applyBorder="1" applyAlignment="1" applyProtection="0">
      <alignment vertical="bottom"/>
    </xf>
    <xf numFmtId="49" fontId="4" borderId="5" applyNumberFormat="1" applyFont="1" applyFill="0" applyBorder="1" applyAlignment="1" applyProtection="0">
      <alignment vertical="bottom"/>
    </xf>
    <xf numFmtId="0" fontId="0" fillId="3" borderId="6" applyNumberFormat="1" applyFont="1" applyFill="1" applyBorder="1" applyAlignment="1" applyProtection="0">
      <alignment vertical="center"/>
    </xf>
    <xf numFmtId="59" fontId="0" fillId="3" borderId="6" applyNumberFormat="1" applyFont="1" applyFill="1" applyBorder="1" applyAlignment="1" applyProtection="0">
      <alignment vertical="center"/>
    </xf>
    <xf numFmtId="0" fontId="0" fillId="3" borderId="6" applyNumberFormat="0" applyFont="1" applyFill="1" applyBorder="1" applyAlignment="1" applyProtection="0">
      <alignment vertical="center"/>
    </xf>
    <xf numFmtId="0" fontId="0" fillId="3" borderId="6" applyNumberFormat="0" applyFont="1" applyFill="1" applyBorder="1" applyAlignment="1" applyProtection="0">
      <alignment vertical="center" wrapText="1"/>
    </xf>
    <xf numFmtId="49" fontId="0" fillId="5" borderId="6" applyNumberFormat="1" applyFont="1" applyFill="1" applyBorder="1" applyAlignment="1" applyProtection="0">
      <alignment vertical="center" wrapText="1"/>
    </xf>
    <xf numFmtId="59" fontId="0" fillId="3" borderId="6" applyNumberFormat="1" applyFont="1" applyFill="1" applyBorder="1" applyAlignment="1" applyProtection="0">
      <alignment vertical="center" wrapText="1"/>
    </xf>
    <xf numFmtId="2" fontId="0" fillId="3" borderId="6" applyNumberFormat="1" applyFont="1" applyFill="1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bottom"/>
    </xf>
    <xf numFmtId="49" fontId="4" fillId="5" borderId="6" applyNumberFormat="1" applyFont="1" applyFill="1" applyBorder="1" applyAlignment="1" applyProtection="0">
      <alignment horizontal="center" vertical="center" wrapText="1"/>
    </xf>
    <xf numFmtId="49" fontId="0" fillId="3" borderId="6" applyNumberFormat="1" applyFont="1" applyFill="1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f4e79"/>
      <rgbColor rgb="ffaaaaaa"/>
      <rgbColor rgb="ff9aa0a6"/>
      <rgbColor rgb="fff2f2f2"/>
      <rgbColor rgb="ffd9e1f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S293"/>
  <sheetViews>
    <sheetView workbookViewId="0" showGridLines="0" defaultGridColor="1"/>
  </sheetViews>
  <sheetFormatPr defaultColWidth="8.83333" defaultRowHeight="15" customHeight="1" outlineLevelRow="0" outlineLevelCol="0"/>
  <cols>
    <col min="1" max="1" width="8" style="1" customWidth="1"/>
    <col min="2" max="2" width="34" style="1" customWidth="1"/>
    <col min="3" max="3" width="11" style="1" customWidth="1"/>
    <col min="4" max="4" width="18" style="1" customWidth="1"/>
    <col min="5" max="5" width="16" style="1" customWidth="1"/>
    <col min="6" max="6" width="28" style="1" customWidth="1"/>
    <col min="7" max="8" width="18" style="1" customWidth="1"/>
    <col min="9" max="9" width="12" style="1" customWidth="1"/>
    <col min="10" max="10" width="14" style="1" customWidth="1"/>
    <col min="11" max="12" width="12" style="1" customWidth="1"/>
    <col min="13" max="13" width="14" style="1" customWidth="1"/>
    <col min="14" max="15" width="12" style="1" customWidth="1"/>
    <col min="16" max="16" width="16" style="1" customWidth="1"/>
    <col min="17" max="17" width="8.85156" style="1" customWidth="1"/>
    <col min="18" max="18" width="16" style="1" customWidth="1"/>
    <col min="19" max="19" width="8.85156" style="1" customWidth="1"/>
    <col min="20" max="16384" width="8.85156" style="1" customWidth="1"/>
  </cols>
  <sheetData>
    <row r="1" ht="28" customHeight="1">
      <c r="A1" t="s" s="2">
        <v>0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ht="22" customHeight="1">
      <c r="A2" t="s" s="5">
        <v>1</v>
      </c>
      <c r="B2" t="s" s="6">
        <v>2</v>
      </c>
      <c r="C2" s="7"/>
      <c r="D2" s="7"/>
      <c r="E2" s="7"/>
      <c r="F2" s="7"/>
      <c r="G2" s="4"/>
      <c r="H2" s="4"/>
      <c r="I2" s="4"/>
      <c r="J2" s="4"/>
      <c r="K2" s="7"/>
      <c r="L2" s="7"/>
      <c r="M2" s="7"/>
      <c r="N2" s="7"/>
      <c r="O2" s="7"/>
      <c r="P2" s="7"/>
      <c r="Q2" s="7"/>
      <c r="R2" s="7"/>
      <c r="S2" s="4"/>
    </row>
    <row r="3" ht="34" customHeight="1">
      <c r="A3" t="s" s="8">
        <v>3</v>
      </c>
      <c r="B3" t="s" s="6">
        <v>4</v>
      </c>
      <c r="C3" s="7"/>
      <c r="D3" s="7"/>
      <c r="E3" s="7"/>
      <c r="F3" s="7"/>
      <c r="G3" s="4"/>
      <c r="H3" s="4"/>
      <c r="I3" s="4"/>
      <c r="J3" s="4"/>
      <c r="K3" s="7"/>
      <c r="L3" s="7"/>
      <c r="M3" s="7"/>
      <c r="N3" s="7"/>
      <c r="O3" s="7"/>
      <c r="P3" s="7"/>
      <c r="Q3" s="7"/>
      <c r="R3" s="7"/>
      <c r="S3" s="4"/>
    </row>
    <row r="4" ht="1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</row>
    <row r="5" ht="32" customHeight="1">
      <c r="A5" t="s" s="10">
        <v>5</v>
      </c>
      <c r="B5" t="s" s="10">
        <v>6</v>
      </c>
      <c r="C5" t="s" s="10">
        <v>7</v>
      </c>
      <c r="D5" t="s" s="10">
        <v>8</v>
      </c>
      <c r="E5" t="s" s="10">
        <v>9</v>
      </c>
      <c r="F5" t="s" s="10">
        <v>10</v>
      </c>
      <c r="G5" t="s" s="10">
        <v>11</v>
      </c>
      <c r="H5" t="s" s="10">
        <v>12</v>
      </c>
      <c r="I5" t="s" s="10">
        <v>13</v>
      </c>
      <c r="J5" t="s" s="10">
        <v>14</v>
      </c>
      <c r="K5" t="s" s="10">
        <v>15</v>
      </c>
      <c r="L5" t="s" s="10">
        <v>16</v>
      </c>
      <c r="M5" t="s" s="10">
        <v>17</v>
      </c>
      <c r="N5" t="s" s="10">
        <v>18</v>
      </c>
      <c r="O5" t="s" s="10">
        <v>19</v>
      </c>
      <c r="P5" t="s" s="10">
        <v>20</v>
      </c>
      <c r="Q5" t="s" s="10">
        <v>21</v>
      </c>
      <c r="R5" t="s" s="10">
        <v>22</v>
      </c>
      <c r="S5" t="s" s="10">
        <v>23</v>
      </c>
    </row>
    <row r="6" ht="16" customHeight="1">
      <c r="A6" t="s" s="11">
        <v>24</v>
      </c>
      <c r="B6" s="12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12"/>
      <c r="Q6" s="13"/>
      <c r="R6" s="13"/>
      <c r="S6" s="14"/>
    </row>
    <row r="7" ht="16" customHeight="1">
      <c r="A7" s="15">
        <v>1</v>
      </c>
      <c r="B7" t="s" s="16">
        <v>25</v>
      </c>
      <c r="C7" t="s" s="17">
        <v>26</v>
      </c>
      <c r="D7" t="s" s="16">
        <v>27</v>
      </c>
      <c r="E7" s="18"/>
      <c r="F7" t="s" s="16">
        <v>28</v>
      </c>
      <c r="G7" s="19"/>
      <c r="H7" s="20"/>
      <c r="I7" t="s" s="21">
        <v>29</v>
      </c>
      <c r="J7" t="s" s="22">
        <v>30</v>
      </c>
      <c r="K7" s="18"/>
      <c r="L7" s="23" cm="1">
        <f t="array" ref="L7">_xlfn.IFERROR(VLOOKUP(D7,'Lookups'!$A$2:$C$17,2,FALSE),0)</f>
        <v>45</v>
      </c>
      <c r="M7" s="23">
        <v>450</v>
      </c>
      <c r="N7" s="18"/>
      <c r="O7" s="23"/>
      <c r="P7" s="23" cm="1">
        <f t="array" ref="P7">N7*O7</f>
        <v>0</v>
      </c>
      <c r="Q7" s="24">
        <v>0</v>
      </c>
      <c r="R7" s="23" cm="1">
        <f t="array" ref="R7">(M7+P7)*(1+VALUE(SUBSTITUTE(Q7,"%",""))/100)</f>
        <v>450</v>
      </c>
      <c r="S7" t="s" s="17">
        <v>31</v>
      </c>
    </row>
    <row r="8" ht="16" customHeight="1">
      <c r="A8" s="15">
        <v>1</v>
      </c>
      <c r="B8" t="s" s="16">
        <v>32</v>
      </c>
      <c r="C8" t="s" s="17">
        <v>26</v>
      </c>
      <c r="D8" t="s" s="16">
        <v>27</v>
      </c>
      <c r="E8" s="18"/>
      <c r="F8" t="s" s="16">
        <v>33</v>
      </c>
      <c r="G8" s="25"/>
      <c r="H8" s="4"/>
      <c r="I8" t="s" s="26">
        <v>29</v>
      </c>
      <c r="J8" t="s" s="27">
        <v>30</v>
      </c>
      <c r="K8" s="18"/>
      <c r="L8" s="23" cm="1">
        <f t="array" ref="L8">_xlfn.IFERROR(VLOOKUP(D8,'Lookups'!$A$2:$C$17,2,FALSE),0)</f>
        <v>45</v>
      </c>
      <c r="M8" s="23">
        <v>220</v>
      </c>
      <c r="N8" s="18"/>
      <c r="O8" s="23"/>
      <c r="P8" s="23" cm="1">
        <f t="array" ref="P8">N8*O8</f>
        <v>0</v>
      </c>
      <c r="Q8" s="24">
        <v>0</v>
      </c>
      <c r="R8" s="23" cm="1">
        <f t="array" ref="R8">(M8+P8)*(1+VALUE(SUBSTITUTE(Q8,"%",""))/100)</f>
        <v>220</v>
      </c>
      <c r="S8" t="s" s="17">
        <v>31</v>
      </c>
    </row>
    <row r="9" ht="16" customHeight="1">
      <c r="A9" s="15">
        <v>1</v>
      </c>
      <c r="B9" t="s" s="16">
        <v>34</v>
      </c>
      <c r="C9" t="s" s="17">
        <v>26</v>
      </c>
      <c r="D9" t="s" s="16">
        <v>35</v>
      </c>
      <c r="E9" s="18"/>
      <c r="F9" t="s" s="16">
        <v>36</v>
      </c>
      <c r="G9" s="25"/>
      <c r="H9" s="4"/>
      <c r="I9" t="s" s="26">
        <v>29</v>
      </c>
      <c r="J9" t="s" s="27">
        <v>30</v>
      </c>
      <c r="K9" s="18"/>
      <c r="L9" s="23" cm="1">
        <f t="array" ref="L9">_xlfn.IFERROR(VLOOKUP(D9,'Lookups'!$A$2:$C$17,2,FALSE),0)</f>
        <v>0</v>
      </c>
      <c r="M9" s="23">
        <v>1100</v>
      </c>
      <c r="N9" s="18"/>
      <c r="O9" s="23"/>
      <c r="P9" s="23" cm="1">
        <f t="array" ref="P9">N9*O9</f>
        <v>0</v>
      </c>
      <c r="Q9" s="24">
        <v>0</v>
      </c>
      <c r="R9" s="23" cm="1">
        <f t="array" ref="R9">(M9+P9)*(1+VALUE(SUBSTITUTE(Q9,"%",""))/100)</f>
        <v>1100</v>
      </c>
      <c r="S9" t="s" s="17">
        <v>31</v>
      </c>
    </row>
    <row r="10" ht="16" customHeight="1">
      <c r="A10" s="15">
        <v>1</v>
      </c>
      <c r="B10" s="18"/>
      <c r="C10" s="28"/>
      <c r="D10" s="18"/>
      <c r="E10" s="18"/>
      <c r="F10" s="18"/>
      <c r="G10" s="25"/>
      <c r="H10" s="4"/>
      <c r="I10" s="29"/>
      <c r="J10" s="30"/>
      <c r="K10" s="18"/>
      <c r="L10" s="23" cm="1">
        <f t="array" ref="L10">_xlfn.IFERROR(VLOOKUP(D10,'Lookups'!$A$2:$C$17,2,FALSE),0)</f>
        <v>0</v>
      </c>
      <c r="M10" s="23" cm="1">
        <f t="array" ref="M10">K10*L10</f>
        <v>0</v>
      </c>
      <c r="N10" s="18"/>
      <c r="O10" s="23"/>
      <c r="P10" s="23" cm="1">
        <f t="array" ref="P10">N10*O10</f>
        <v>0</v>
      </c>
      <c r="Q10" t="s" s="17">
        <v>37</v>
      </c>
      <c r="R10" s="23" cm="1">
        <f t="array" ref="R10">(M10+P10)*(1+VALUE(SUBSTITUTE(Q10,"%",""))/100)</f>
        <v>0</v>
      </c>
      <c r="S10" t="s" s="17">
        <v>31</v>
      </c>
    </row>
    <row r="11" ht="16" customHeight="1">
      <c r="A11" s="15">
        <v>1</v>
      </c>
      <c r="B11" s="18"/>
      <c r="C11" s="28"/>
      <c r="D11" s="18"/>
      <c r="E11" s="18"/>
      <c r="F11" s="18"/>
      <c r="G11" s="25"/>
      <c r="H11" s="4"/>
      <c r="I11" s="29"/>
      <c r="J11" s="30"/>
      <c r="K11" s="18"/>
      <c r="L11" s="23" cm="1">
        <f t="array" ref="L11">_xlfn.IFERROR(VLOOKUP(D11,'Lookups'!$A$2:$C$17,2,FALSE),0)</f>
        <v>0</v>
      </c>
      <c r="M11" s="23" cm="1">
        <f t="array" ref="M11">K11*L11</f>
        <v>0</v>
      </c>
      <c r="N11" s="18"/>
      <c r="O11" s="23"/>
      <c r="P11" s="23" cm="1">
        <f t="array" ref="P11">N11*O11</f>
        <v>0</v>
      </c>
      <c r="Q11" t="s" s="17">
        <v>37</v>
      </c>
      <c r="R11" s="23" cm="1">
        <f t="array" ref="R11">(M11+P11)*(1+VALUE(SUBSTITUTE(Q11,"%",""))/100)</f>
        <v>0</v>
      </c>
      <c r="S11" t="s" s="17">
        <v>31</v>
      </c>
    </row>
    <row r="12" ht="16" customHeight="1">
      <c r="A12" s="15">
        <v>1</v>
      </c>
      <c r="B12" s="18"/>
      <c r="C12" s="28"/>
      <c r="D12" s="18"/>
      <c r="E12" s="18"/>
      <c r="F12" s="18"/>
      <c r="G12" s="25"/>
      <c r="H12" s="4"/>
      <c r="I12" s="29"/>
      <c r="J12" s="30"/>
      <c r="K12" s="18"/>
      <c r="L12" s="23" cm="1">
        <f t="array" ref="L12">_xlfn.IFERROR(VLOOKUP(D12,'Lookups'!$A$2:$C$17,2,FALSE),0)</f>
        <v>0</v>
      </c>
      <c r="M12" s="23" cm="1">
        <f t="array" ref="M12">K12*L12</f>
        <v>0</v>
      </c>
      <c r="N12" s="18"/>
      <c r="O12" s="23"/>
      <c r="P12" s="23" cm="1">
        <f t="array" ref="P12">N12*O12</f>
        <v>0</v>
      </c>
      <c r="Q12" t="s" s="17">
        <v>37</v>
      </c>
      <c r="R12" s="23" cm="1">
        <f t="array" ref="R12">(M12+P12)*(1+VALUE(SUBSTITUTE(Q12,"%",""))/100)</f>
        <v>0</v>
      </c>
      <c r="S12" t="s" s="17">
        <v>31</v>
      </c>
    </row>
    <row r="13" ht="16" customHeight="1">
      <c r="A13" s="15">
        <v>1</v>
      </c>
      <c r="B13" s="18"/>
      <c r="C13" s="28"/>
      <c r="D13" s="18"/>
      <c r="E13" s="18"/>
      <c r="F13" s="18"/>
      <c r="G13" s="25"/>
      <c r="H13" s="4"/>
      <c r="I13" s="29"/>
      <c r="J13" s="30"/>
      <c r="K13" s="18"/>
      <c r="L13" s="23" cm="1">
        <f t="array" ref="L13">_xlfn.IFERROR(VLOOKUP(D13,'Lookups'!$A$2:$C$17,2,FALSE),0)</f>
        <v>0</v>
      </c>
      <c r="M13" s="23" cm="1">
        <f t="array" ref="M13">K13*L13</f>
        <v>0</v>
      </c>
      <c r="N13" s="18"/>
      <c r="O13" s="23"/>
      <c r="P13" s="23" cm="1">
        <f t="array" ref="P13">N13*O13</f>
        <v>0</v>
      </c>
      <c r="Q13" t="s" s="17">
        <v>37</v>
      </c>
      <c r="R13" s="23" cm="1">
        <f t="array" ref="R13">(M13+P13)*(1+VALUE(SUBSTITUTE(Q13,"%",""))/100)</f>
        <v>0</v>
      </c>
      <c r="S13" t="s" s="17">
        <v>31</v>
      </c>
    </row>
    <row r="14" ht="16" customHeight="1">
      <c r="A14" s="15">
        <v>1</v>
      </c>
      <c r="B14" s="18"/>
      <c r="C14" s="28"/>
      <c r="D14" s="18"/>
      <c r="E14" s="18"/>
      <c r="F14" s="18"/>
      <c r="G14" s="25"/>
      <c r="H14" s="4"/>
      <c r="I14" s="29"/>
      <c r="J14" s="30"/>
      <c r="K14" s="18"/>
      <c r="L14" s="23" cm="1">
        <f t="array" ref="L14">_xlfn.IFERROR(VLOOKUP(D14,'Lookups'!$A$2:$C$17,2,FALSE),0)</f>
        <v>0</v>
      </c>
      <c r="M14" s="23" cm="1">
        <f t="array" ref="M14">K14*L14</f>
        <v>0</v>
      </c>
      <c r="N14" s="18"/>
      <c r="O14" s="23"/>
      <c r="P14" s="23" cm="1">
        <f t="array" ref="P14">N14*O14</f>
        <v>0</v>
      </c>
      <c r="Q14" t="s" s="17">
        <v>37</v>
      </c>
      <c r="R14" s="23" cm="1">
        <f t="array" ref="R14">(M14+P14)*(1+VALUE(SUBSTITUTE(Q14,"%",""))/100)</f>
        <v>0</v>
      </c>
      <c r="S14" t="s" s="17">
        <v>31</v>
      </c>
    </row>
    <row r="15" ht="16" customHeight="1">
      <c r="A15" s="15">
        <v>1</v>
      </c>
      <c r="B15" s="18"/>
      <c r="C15" s="28"/>
      <c r="D15" s="18"/>
      <c r="E15" s="18"/>
      <c r="F15" s="18"/>
      <c r="G15" s="25"/>
      <c r="H15" s="4"/>
      <c r="I15" s="29"/>
      <c r="J15" s="30"/>
      <c r="K15" s="18"/>
      <c r="L15" s="23" cm="1">
        <f t="array" ref="L15">_xlfn.IFERROR(VLOOKUP(D15,'Lookups'!$A$2:$C$17,2,FALSE),0)</f>
        <v>0</v>
      </c>
      <c r="M15" s="23" cm="1">
        <f t="array" ref="M15">K15*L15</f>
        <v>0</v>
      </c>
      <c r="N15" s="18"/>
      <c r="O15" s="23"/>
      <c r="P15" s="23" cm="1">
        <f t="array" ref="P15">N15*O15</f>
        <v>0</v>
      </c>
      <c r="Q15" t="s" s="17">
        <v>37</v>
      </c>
      <c r="R15" s="23" cm="1">
        <f t="array" ref="R15">(M15+P15)*(1+VALUE(SUBSTITUTE(Q15,"%",""))/100)</f>
        <v>0</v>
      </c>
      <c r="S15" t="s" s="17">
        <v>31</v>
      </c>
    </row>
    <row r="16" ht="16" customHeight="1">
      <c r="A16" s="15">
        <v>1</v>
      </c>
      <c r="B16" s="18"/>
      <c r="C16" s="28"/>
      <c r="D16" s="18"/>
      <c r="E16" s="18"/>
      <c r="F16" s="18"/>
      <c r="G16" s="25"/>
      <c r="H16" s="4"/>
      <c r="I16" s="29"/>
      <c r="J16" s="30"/>
      <c r="K16" s="18"/>
      <c r="L16" s="23" cm="1">
        <f t="array" ref="L16">_xlfn.IFERROR(VLOOKUP(D16,'Lookups'!$A$2:$C$17,2,FALSE),0)</f>
        <v>0</v>
      </c>
      <c r="M16" s="23" cm="1">
        <f t="array" ref="M16">K16*L16</f>
        <v>0</v>
      </c>
      <c r="N16" s="18"/>
      <c r="O16" s="23"/>
      <c r="P16" s="23" cm="1">
        <f t="array" ref="P16">N16*O16</f>
        <v>0</v>
      </c>
      <c r="Q16" t="s" s="17">
        <v>37</v>
      </c>
      <c r="R16" s="23" cm="1">
        <f t="array" ref="R16">(M16+P16)*(1+VALUE(SUBSTITUTE(Q16,"%",""))/100)</f>
        <v>0</v>
      </c>
      <c r="S16" t="s" s="17">
        <v>31</v>
      </c>
    </row>
    <row r="17" ht="16" customHeight="1">
      <c r="A17" s="15">
        <v>1</v>
      </c>
      <c r="B17" s="18"/>
      <c r="C17" s="28"/>
      <c r="D17" s="18"/>
      <c r="E17" s="18"/>
      <c r="F17" s="18"/>
      <c r="G17" s="25"/>
      <c r="H17" s="4"/>
      <c r="I17" s="29"/>
      <c r="J17" s="30"/>
      <c r="K17" s="18"/>
      <c r="L17" s="23" cm="1">
        <f t="array" ref="L17">_xlfn.IFERROR(VLOOKUP(D17,'Lookups'!$A$2:$C$17,2,FALSE),0)</f>
        <v>0</v>
      </c>
      <c r="M17" s="23" cm="1">
        <f t="array" ref="M17">K17*L17</f>
        <v>0</v>
      </c>
      <c r="N17" s="18"/>
      <c r="O17" s="23"/>
      <c r="P17" s="23" cm="1">
        <f t="array" ref="P17">N17*O17</f>
        <v>0</v>
      </c>
      <c r="Q17" t="s" s="17">
        <v>37</v>
      </c>
      <c r="R17" s="23" cm="1">
        <f t="array" ref="R17">(M17+P17)*(1+VALUE(SUBSTITUTE(Q17,"%",""))/100)</f>
        <v>0</v>
      </c>
      <c r="S17" t="s" s="17">
        <v>31</v>
      </c>
    </row>
    <row r="18" ht="16" customHeight="1">
      <c r="A18" s="15">
        <v>1</v>
      </c>
      <c r="B18" s="18"/>
      <c r="C18" s="28"/>
      <c r="D18" s="18"/>
      <c r="E18" s="18"/>
      <c r="F18" s="18"/>
      <c r="G18" s="31"/>
      <c r="H18" s="9"/>
      <c r="I18" s="32"/>
      <c r="J18" s="33"/>
      <c r="K18" s="18"/>
      <c r="L18" s="23" cm="1">
        <f t="array" ref="L18">_xlfn.IFERROR(VLOOKUP(D18,'Lookups'!$A$2:$C$17,2,FALSE),0)</f>
        <v>0</v>
      </c>
      <c r="M18" s="23" cm="1">
        <f t="array" ref="M18">K18*L18</f>
        <v>0</v>
      </c>
      <c r="N18" s="18"/>
      <c r="O18" s="23"/>
      <c r="P18" s="23" cm="1">
        <f t="array" ref="P18">N18*O18</f>
        <v>0</v>
      </c>
      <c r="Q18" t="s" s="17">
        <v>37</v>
      </c>
      <c r="R18" s="23" cm="1">
        <f t="array" ref="R18">(M18+P18)*(1+VALUE(SUBSTITUTE(Q18,"%",""))/100)</f>
        <v>0</v>
      </c>
      <c r="S18" t="s" s="17">
        <v>31</v>
      </c>
    </row>
    <row r="19" ht="16" customHeight="1">
      <c r="A19" t="s" s="11">
        <v>38</v>
      </c>
      <c r="B19" s="12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4"/>
      <c r="P19" s="12"/>
      <c r="Q19" s="13"/>
      <c r="R19" s="13"/>
      <c r="S19" s="14"/>
    </row>
    <row r="20" ht="16" customHeight="1">
      <c r="A20" s="15">
        <v>2</v>
      </c>
      <c r="B20" t="s" s="16">
        <v>25</v>
      </c>
      <c r="C20" t="s" s="17">
        <v>26</v>
      </c>
      <c r="D20" t="s" s="16">
        <v>27</v>
      </c>
      <c r="E20" s="18"/>
      <c r="F20" t="s" s="16">
        <v>39</v>
      </c>
      <c r="G20" s="19"/>
      <c r="H20" s="20"/>
      <c r="I20" t="s" s="21">
        <v>40</v>
      </c>
      <c r="J20" t="s" s="22">
        <v>30</v>
      </c>
      <c r="K20" s="18"/>
      <c r="L20" s="23" cm="1">
        <f t="array" ref="L20">_xlfn.IFERROR(VLOOKUP(D20,'Lookups'!$A$2:$C$17,2,FALSE),0)</f>
        <v>45</v>
      </c>
      <c r="M20" s="23">
        <v>675</v>
      </c>
      <c r="N20" s="18"/>
      <c r="O20" s="23"/>
      <c r="P20" s="23" cm="1">
        <f t="array" ref="P20">N20*O20</f>
        <v>0</v>
      </c>
      <c r="Q20" s="24">
        <v>0</v>
      </c>
      <c r="R20" s="23" cm="1">
        <f t="array" ref="R20">(M20+P20)*(1+VALUE(SUBSTITUTE(Q20,"%",""))/100)</f>
        <v>675</v>
      </c>
      <c r="S20" t="s" s="17">
        <v>31</v>
      </c>
    </row>
    <row r="21" ht="16" customHeight="1">
      <c r="A21" s="15">
        <v>2</v>
      </c>
      <c r="B21" t="s" s="16">
        <v>34</v>
      </c>
      <c r="C21" t="s" s="17">
        <v>26</v>
      </c>
      <c r="D21" t="s" s="16">
        <v>35</v>
      </c>
      <c r="E21" s="18"/>
      <c r="F21" t="s" s="16">
        <v>36</v>
      </c>
      <c r="G21" s="25"/>
      <c r="H21" s="4"/>
      <c r="I21" t="s" s="26">
        <v>40</v>
      </c>
      <c r="J21" t="s" s="27">
        <v>30</v>
      </c>
      <c r="K21" s="18"/>
      <c r="L21" s="23" cm="1">
        <f t="array" ref="L21">_xlfn.IFERROR(VLOOKUP(D21,'Lookups'!$A$2:$C$17,2,FALSE),0)</f>
        <v>0</v>
      </c>
      <c r="M21" s="23">
        <v>1000</v>
      </c>
      <c r="N21" s="18"/>
      <c r="O21" s="23"/>
      <c r="P21" s="23" cm="1">
        <f t="array" ref="P21">N21*O21</f>
        <v>0</v>
      </c>
      <c r="Q21" s="24">
        <v>0</v>
      </c>
      <c r="R21" s="23" cm="1">
        <f t="array" ref="R21">(M21+P21)*(1+VALUE(SUBSTITUTE(Q21,"%",""))/100)</f>
        <v>1000</v>
      </c>
      <c r="S21" t="s" s="17">
        <v>31</v>
      </c>
    </row>
    <row r="22" ht="16" customHeight="1">
      <c r="A22" s="15">
        <v>2</v>
      </c>
      <c r="B22" s="18"/>
      <c r="C22" s="28"/>
      <c r="D22" s="18"/>
      <c r="E22" s="18"/>
      <c r="F22" s="18"/>
      <c r="G22" s="25"/>
      <c r="H22" s="4"/>
      <c r="I22" s="29"/>
      <c r="J22" s="30"/>
      <c r="K22" s="18"/>
      <c r="L22" s="23" cm="1">
        <f t="array" ref="L22">_xlfn.IFERROR(VLOOKUP(D22,'Lookups'!$A$2:$C$17,2,FALSE),0)</f>
        <v>0</v>
      </c>
      <c r="M22" s="23" cm="1">
        <f t="array" ref="M22">K22*L22</f>
        <v>0</v>
      </c>
      <c r="N22" s="18"/>
      <c r="O22" s="23"/>
      <c r="P22" s="23" cm="1">
        <f t="array" ref="P22">N22*O22</f>
        <v>0</v>
      </c>
      <c r="Q22" t="s" s="17">
        <v>37</v>
      </c>
      <c r="R22" s="23" cm="1">
        <f t="array" ref="R22">(M22+P22)*(1+VALUE(SUBSTITUTE(Q22,"%",""))/100)</f>
        <v>0</v>
      </c>
      <c r="S22" t="s" s="17">
        <v>31</v>
      </c>
    </row>
    <row r="23" ht="16" customHeight="1">
      <c r="A23" s="15">
        <v>2</v>
      </c>
      <c r="B23" s="18"/>
      <c r="C23" s="28"/>
      <c r="D23" s="18"/>
      <c r="E23" s="18"/>
      <c r="F23" s="18"/>
      <c r="G23" s="25"/>
      <c r="H23" s="4"/>
      <c r="I23" s="29"/>
      <c r="J23" s="30"/>
      <c r="K23" s="18"/>
      <c r="L23" s="23" cm="1">
        <f t="array" ref="L23">_xlfn.IFERROR(VLOOKUP(D23,'Lookups'!$A$2:$C$17,2,FALSE),0)</f>
        <v>0</v>
      </c>
      <c r="M23" s="23" cm="1">
        <f t="array" ref="M23">K23*L23</f>
        <v>0</v>
      </c>
      <c r="N23" s="18"/>
      <c r="O23" s="23"/>
      <c r="P23" s="23" cm="1">
        <f t="array" ref="P23">N23*O23</f>
        <v>0</v>
      </c>
      <c r="Q23" t="s" s="17">
        <v>37</v>
      </c>
      <c r="R23" s="23" cm="1">
        <f t="array" ref="R23">(M23+P23)*(1+VALUE(SUBSTITUTE(Q23,"%",""))/100)</f>
        <v>0</v>
      </c>
      <c r="S23" t="s" s="17">
        <v>31</v>
      </c>
    </row>
    <row r="24" ht="16" customHeight="1">
      <c r="A24" s="15">
        <v>2</v>
      </c>
      <c r="B24" s="18"/>
      <c r="C24" s="28"/>
      <c r="D24" s="18"/>
      <c r="E24" s="18"/>
      <c r="F24" s="18"/>
      <c r="G24" s="25"/>
      <c r="H24" s="4"/>
      <c r="I24" s="29"/>
      <c r="J24" s="30"/>
      <c r="K24" s="18"/>
      <c r="L24" s="23" cm="1">
        <f t="array" ref="L24">_xlfn.IFERROR(VLOOKUP(D24,'Lookups'!$A$2:$C$17,2,FALSE),0)</f>
        <v>0</v>
      </c>
      <c r="M24" s="23" cm="1">
        <f t="array" ref="M24">K24*L24</f>
        <v>0</v>
      </c>
      <c r="N24" s="18"/>
      <c r="O24" s="23"/>
      <c r="P24" s="23" cm="1">
        <f t="array" ref="P24">N24*O24</f>
        <v>0</v>
      </c>
      <c r="Q24" t="s" s="17">
        <v>37</v>
      </c>
      <c r="R24" s="23" cm="1">
        <f t="array" ref="R24">(M24+P24)*(1+VALUE(SUBSTITUTE(Q24,"%",""))/100)</f>
        <v>0</v>
      </c>
      <c r="S24" t="s" s="17">
        <v>31</v>
      </c>
    </row>
    <row r="25" ht="16" customHeight="1">
      <c r="A25" s="15">
        <v>2</v>
      </c>
      <c r="B25" s="18"/>
      <c r="C25" s="28"/>
      <c r="D25" s="18"/>
      <c r="E25" s="18"/>
      <c r="F25" s="18"/>
      <c r="G25" s="25"/>
      <c r="H25" s="4"/>
      <c r="I25" s="29"/>
      <c r="J25" s="30"/>
      <c r="K25" s="18"/>
      <c r="L25" s="23" cm="1">
        <f t="array" ref="L25">_xlfn.IFERROR(VLOOKUP(D25,'Lookups'!$A$2:$C$17,2,FALSE),0)</f>
        <v>0</v>
      </c>
      <c r="M25" s="23" cm="1">
        <f t="array" ref="M25">K25*L25</f>
        <v>0</v>
      </c>
      <c r="N25" s="18"/>
      <c r="O25" s="23"/>
      <c r="P25" s="23" cm="1">
        <f t="array" ref="P25">N25*O25</f>
        <v>0</v>
      </c>
      <c r="Q25" t="s" s="17">
        <v>37</v>
      </c>
      <c r="R25" s="23" cm="1">
        <f t="array" ref="R25">(M25+P25)*(1+VALUE(SUBSTITUTE(Q25,"%",""))/100)</f>
        <v>0</v>
      </c>
      <c r="S25" t="s" s="17">
        <v>31</v>
      </c>
    </row>
    <row r="26" ht="16" customHeight="1">
      <c r="A26" s="15">
        <v>2</v>
      </c>
      <c r="B26" s="18"/>
      <c r="C26" s="28"/>
      <c r="D26" s="18"/>
      <c r="E26" s="18"/>
      <c r="F26" s="18"/>
      <c r="G26" s="25"/>
      <c r="H26" s="4"/>
      <c r="I26" s="29"/>
      <c r="J26" s="30"/>
      <c r="K26" s="18"/>
      <c r="L26" s="23" cm="1">
        <f t="array" ref="L26">_xlfn.IFERROR(VLOOKUP(D26,'Lookups'!$A$2:$C$17,2,FALSE),0)</f>
        <v>0</v>
      </c>
      <c r="M26" s="23" cm="1">
        <f t="array" ref="M26">K26*L26</f>
        <v>0</v>
      </c>
      <c r="N26" s="18"/>
      <c r="O26" s="23"/>
      <c r="P26" s="23" cm="1">
        <f t="array" ref="P26">N26*O26</f>
        <v>0</v>
      </c>
      <c r="Q26" t="s" s="17">
        <v>37</v>
      </c>
      <c r="R26" s="23" cm="1">
        <f t="array" ref="R26">(M26+P26)*(1+VALUE(SUBSTITUTE(Q26,"%",""))/100)</f>
        <v>0</v>
      </c>
      <c r="S26" t="s" s="17">
        <v>31</v>
      </c>
    </row>
    <row r="27" ht="16" customHeight="1">
      <c r="A27" s="15">
        <v>2</v>
      </c>
      <c r="B27" s="18"/>
      <c r="C27" s="28"/>
      <c r="D27" s="18"/>
      <c r="E27" s="18"/>
      <c r="F27" s="18"/>
      <c r="G27" s="25"/>
      <c r="H27" s="4"/>
      <c r="I27" s="29"/>
      <c r="J27" s="30"/>
      <c r="K27" s="18"/>
      <c r="L27" s="23" cm="1">
        <f t="array" ref="L27">_xlfn.IFERROR(VLOOKUP(D27,'Lookups'!$A$2:$C$17,2,FALSE),0)</f>
        <v>0</v>
      </c>
      <c r="M27" s="23" cm="1">
        <f t="array" ref="M27">K27*L27</f>
        <v>0</v>
      </c>
      <c r="N27" s="18"/>
      <c r="O27" s="23"/>
      <c r="P27" s="23" cm="1">
        <f t="array" ref="P27">N27*O27</f>
        <v>0</v>
      </c>
      <c r="Q27" t="s" s="17">
        <v>37</v>
      </c>
      <c r="R27" s="23" cm="1">
        <f t="array" ref="R27">(M27+P27)*(1+VALUE(SUBSTITUTE(Q27,"%",""))/100)</f>
        <v>0</v>
      </c>
      <c r="S27" t="s" s="17">
        <v>31</v>
      </c>
    </row>
    <row r="28" ht="16" customHeight="1">
      <c r="A28" s="15">
        <v>2</v>
      </c>
      <c r="B28" s="18"/>
      <c r="C28" s="28"/>
      <c r="D28" s="18"/>
      <c r="E28" s="18"/>
      <c r="F28" s="18"/>
      <c r="G28" s="25"/>
      <c r="H28" s="4"/>
      <c r="I28" s="29"/>
      <c r="J28" s="30"/>
      <c r="K28" s="18"/>
      <c r="L28" s="23" cm="1">
        <f t="array" ref="L28">_xlfn.IFERROR(VLOOKUP(D28,'Lookups'!$A$2:$C$17,2,FALSE),0)</f>
        <v>0</v>
      </c>
      <c r="M28" s="23" cm="1">
        <f t="array" ref="M28">K28*L28</f>
        <v>0</v>
      </c>
      <c r="N28" s="18"/>
      <c r="O28" s="23"/>
      <c r="P28" s="23" cm="1">
        <f t="array" ref="P28">N28*O28</f>
        <v>0</v>
      </c>
      <c r="Q28" t="s" s="17">
        <v>37</v>
      </c>
      <c r="R28" s="23" cm="1">
        <f t="array" ref="R28">(M28+P28)*(1+VALUE(SUBSTITUTE(Q28,"%",""))/100)</f>
        <v>0</v>
      </c>
      <c r="S28" t="s" s="17">
        <v>31</v>
      </c>
    </row>
    <row r="29" ht="16" customHeight="1">
      <c r="A29" s="15">
        <v>2</v>
      </c>
      <c r="B29" s="18"/>
      <c r="C29" s="28"/>
      <c r="D29" s="18"/>
      <c r="E29" s="18"/>
      <c r="F29" s="18"/>
      <c r="G29" s="25"/>
      <c r="H29" s="4"/>
      <c r="I29" s="29"/>
      <c r="J29" s="30"/>
      <c r="K29" s="18"/>
      <c r="L29" s="23" cm="1">
        <f t="array" ref="L29">_xlfn.IFERROR(VLOOKUP(D29,'Lookups'!$A$2:$C$17,2,FALSE),0)</f>
        <v>0</v>
      </c>
      <c r="M29" s="23" cm="1">
        <f t="array" ref="M29">K29*L29</f>
        <v>0</v>
      </c>
      <c r="N29" s="18"/>
      <c r="O29" s="23"/>
      <c r="P29" s="23" cm="1">
        <f t="array" ref="P29">N29*O29</f>
        <v>0</v>
      </c>
      <c r="Q29" t="s" s="17">
        <v>37</v>
      </c>
      <c r="R29" s="23" cm="1">
        <f t="array" ref="R29">(M29+P29)*(1+VALUE(SUBSTITUTE(Q29,"%",""))/100)</f>
        <v>0</v>
      </c>
      <c r="S29" t="s" s="17">
        <v>31</v>
      </c>
    </row>
    <row r="30" ht="16" customHeight="1">
      <c r="A30" s="15">
        <v>2</v>
      </c>
      <c r="B30" s="18"/>
      <c r="C30" s="28"/>
      <c r="D30" s="18"/>
      <c r="E30" s="18"/>
      <c r="F30" s="18"/>
      <c r="G30" s="25"/>
      <c r="H30" s="4"/>
      <c r="I30" s="29"/>
      <c r="J30" s="30"/>
      <c r="K30" s="18"/>
      <c r="L30" s="23" cm="1">
        <f t="array" ref="L30">_xlfn.IFERROR(VLOOKUP(D30,'Lookups'!$A$2:$C$17,2,FALSE),0)</f>
        <v>0</v>
      </c>
      <c r="M30" s="23" cm="1">
        <f t="array" ref="M30">K30*L30</f>
        <v>0</v>
      </c>
      <c r="N30" s="18"/>
      <c r="O30" s="23"/>
      <c r="P30" s="23" cm="1">
        <f t="array" ref="P30">N30*O30</f>
        <v>0</v>
      </c>
      <c r="Q30" t="s" s="17">
        <v>37</v>
      </c>
      <c r="R30" s="23" cm="1">
        <f t="array" ref="R30">(M30+P30)*(1+VALUE(SUBSTITUTE(Q30,"%",""))/100)</f>
        <v>0</v>
      </c>
      <c r="S30" t="s" s="17">
        <v>31</v>
      </c>
    </row>
    <row r="31" ht="16" customHeight="1">
      <c r="A31" s="15">
        <v>2</v>
      </c>
      <c r="B31" s="18"/>
      <c r="C31" s="28"/>
      <c r="D31" s="18"/>
      <c r="E31" s="18"/>
      <c r="F31" s="18"/>
      <c r="G31" s="31"/>
      <c r="H31" s="9"/>
      <c r="I31" s="32"/>
      <c r="J31" s="33"/>
      <c r="K31" s="18"/>
      <c r="L31" s="23" cm="1">
        <f t="array" ref="L31">_xlfn.IFERROR(VLOOKUP(D31,'Lookups'!$A$2:$C$17,2,FALSE),0)</f>
        <v>0</v>
      </c>
      <c r="M31" s="23" cm="1">
        <f t="array" ref="M31">K31*L31</f>
        <v>0</v>
      </c>
      <c r="N31" s="18"/>
      <c r="O31" s="23"/>
      <c r="P31" s="23" cm="1">
        <f t="array" ref="P31">N31*O31</f>
        <v>0</v>
      </c>
      <c r="Q31" t="s" s="17">
        <v>37</v>
      </c>
      <c r="R31" s="23" cm="1">
        <f t="array" ref="R31">(M31+P31)*(1+VALUE(SUBSTITUTE(Q31,"%",""))/100)</f>
        <v>0</v>
      </c>
      <c r="S31" t="s" s="17">
        <v>31</v>
      </c>
    </row>
    <row r="32" ht="16" customHeight="1">
      <c r="A32" t="s" s="11">
        <v>41</v>
      </c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4"/>
      <c r="P32" s="12"/>
      <c r="Q32" s="13"/>
      <c r="R32" s="13"/>
      <c r="S32" s="14"/>
    </row>
    <row r="33" ht="16" customHeight="1">
      <c r="A33" s="15">
        <v>3</v>
      </c>
      <c r="B33" t="s" s="16">
        <v>25</v>
      </c>
      <c r="C33" t="s" s="17">
        <v>26</v>
      </c>
      <c r="D33" t="s" s="16">
        <v>27</v>
      </c>
      <c r="E33" s="18"/>
      <c r="F33" t="s" s="16">
        <v>42</v>
      </c>
      <c r="G33" s="19"/>
      <c r="H33" s="20"/>
      <c r="I33" t="s" s="21">
        <v>43</v>
      </c>
      <c r="J33" t="s" s="22">
        <v>30</v>
      </c>
      <c r="K33" s="18"/>
      <c r="L33" s="23" cm="1">
        <f t="array" ref="L33">_xlfn.IFERROR(VLOOKUP(D33,'Lookups'!$A$2:$C$17,2,FALSE),0)</f>
        <v>45</v>
      </c>
      <c r="M33" s="23">
        <v>525</v>
      </c>
      <c r="N33" s="18"/>
      <c r="O33" s="23"/>
      <c r="P33" s="23" cm="1">
        <f t="array" ref="P33">N33*O33</f>
        <v>0</v>
      </c>
      <c r="Q33" s="24">
        <v>0</v>
      </c>
      <c r="R33" s="23" cm="1">
        <f t="array" ref="R33">(M33+P33)*(1+VALUE(SUBSTITUTE(Q33,"%",""))/100)</f>
        <v>525</v>
      </c>
      <c r="S33" t="s" s="17">
        <v>31</v>
      </c>
    </row>
    <row r="34" ht="16" customHeight="1">
      <c r="A34" s="15">
        <v>3</v>
      </c>
      <c r="B34" s="18"/>
      <c r="C34" s="28"/>
      <c r="D34" s="18"/>
      <c r="E34" s="18"/>
      <c r="F34" s="18"/>
      <c r="G34" s="25"/>
      <c r="H34" s="4"/>
      <c r="I34" s="29"/>
      <c r="J34" s="30"/>
      <c r="K34" s="18"/>
      <c r="L34" s="23" cm="1">
        <f t="array" ref="L34">_xlfn.IFERROR(VLOOKUP(D34,'Lookups'!$A$2:$C$17,2,FALSE),0)</f>
        <v>0</v>
      </c>
      <c r="M34" s="23" cm="1">
        <f t="array" ref="M34">K34*L34</f>
        <v>0</v>
      </c>
      <c r="N34" s="18"/>
      <c r="O34" s="23"/>
      <c r="P34" s="23" cm="1">
        <f t="array" ref="P34">N34*O34</f>
        <v>0</v>
      </c>
      <c r="Q34" t="s" s="17">
        <v>37</v>
      </c>
      <c r="R34" s="23" cm="1">
        <f t="array" ref="R34">(M34+P34)*(1+VALUE(SUBSTITUTE(Q34,"%",""))/100)</f>
        <v>0</v>
      </c>
      <c r="S34" t="s" s="17">
        <v>31</v>
      </c>
    </row>
    <row r="35" ht="16" customHeight="1">
      <c r="A35" s="15">
        <v>3</v>
      </c>
      <c r="B35" s="18"/>
      <c r="C35" s="28"/>
      <c r="D35" s="18"/>
      <c r="E35" s="18"/>
      <c r="F35" s="18"/>
      <c r="G35" s="25"/>
      <c r="H35" s="4"/>
      <c r="I35" s="29"/>
      <c r="J35" s="30"/>
      <c r="K35" s="18"/>
      <c r="L35" s="23" cm="1">
        <f t="array" ref="L35">_xlfn.IFERROR(VLOOKUP(D35,'Lookups'!$A$2:$C$17,2,FALSE),0)</f>
        <v>0</v>
      </c>
      <c r="M35" s="23" cm="1">
        <f t="array" ref="M35">K35*L35</f>
        <v>0</v>
      </c>
      <c r="N35" s="18"/>
      <c r="O35" s="23"/>
      <c r="P35" s="23" cm="1">
        <f t="array" ref="P35">N35*O35</f>
        <v>0</v>
      </c>
      <c r="Q35" t="s" s="17">
        <v>37</v>
      </c>
      <c r="R35" s="23" cm="1">
        <f t="array" ref="R35">(M35+P35)*(1+VALUE(SUBSTITUTE(Q35,"%",""))/100)</f>
        <v>0</v>
      </c>
      <c r="S35" t="s" s="17">
        <v>31</v>
      </c>
    </row>
    <row r="36" ht="16" customHeight="1">
      <c r="A36" s="15">
        <v>3</v>
      </c>
      <c r="B36" s="18"/>
      <c r="C36" s="28"/>
      <c r="D36" s="18"/>
      <c r="E36" s="18"/>
      <c r="F36" s="18"/>
      <c r="G36" s="25"/>
      <c r="H36" s="4"/>
      <c r="I36" s="29"/>
      <c r="J36" s="30"/>
      <c r="K36" s="18"/>
      <c r="L36" s="23" cm="1">
        <f t="array" ref="L36">_xlfn.IFERROR(VLOOKUP(D36,'Lookups'!$A$2:$C$17,2,FALSE),0)</f>
        <v>0</v>
      </c>
      <c r="M36" s="23" cm="1">
        <f t="array" ref="M36">K36*L36</f>
        <v>0</v>
      </c>
      <c r="N36" s="18"/>
      <c r="O36" s="23"/>
      <c r="P36" s="23" cm="1">
        <f t="array" ref="P36">N36*O36</f>
        <v>0</v>
      </c>
      <c r="Q36" t="s" s="17">
        <v>37</v>
      </c>
      <c r="R36" s="23" cm="1">
        <f t="array" ref="R36">(M36+P36)*(1+VALUE(SUBSTITUTE(Q36,"%",""))/100)</f>
        <v>0</v>
      </c>
      <c r="S36" t="s" s="17">
        <v>31</v>
      </c>
    </row>
    <row r="37" ht="16" customHeight="1">
      <c r="A37" s="15">
        <v>3</v>
      </c>
      <c r="B37" s="18"/>
      <c r="C37" s="28"/>
      <c r="D37" s="18"/>
      <c r="E37" s="18"/>
      <c r="F37" s="18"/>
      <c r="G37" s="25"/>
      <c r="H37" s="4"/>
      <c r="I37" s="29"/>
      <c r="J37" s="30"/>
      <c r="K37" s="18"/>
      <c r="L37" s="23" cm="1">
        <f t="array" ref="L37">_xlfn.IFERROR(VLOOKUP(D37,'Lookups'!$A$2:$C$17,2,FALSE),0)</f>
        <v>0</v>
      </c>
      <c r="M37" s="23" cm="1">
        <f t="array" ref="M37">K37*L37</f>
        <v>0</v>
      </c>
      <c r="N37" s="18"/>
      <c r="O37" s="23"/>
      <c r="P37" s="23" cm="1">
        <f t="array" ref="P37">N37*O37</f>
        <v>0</v>
      </c>
      <c r="Q37" t="s" s="17">
        <v>37</v>
      </c>
      <c r="R37" s="23" cm="1">
        <f t="array" ref="R37">(M37+P37)*(1+VALUE(SUBSTITUTE(Q37,"%",""))/100)</f>
        <v>0</v>
      </c>
      <c r="S37" t="s" s="17">
        <v>31</v>
      </c>
    </row>
    <row r="38" ht="16" customHeight="1">
      <c r="A38" s="15">
        <v>3</v>
      </c>
      <c r="B38" s="18"/>
      <c r="C38" s="28"/>
      <c r="D38" s="18"/>
      <c r="E38" s="18"/>
      <c r="F38" s="18"/>
      <c r="G38" s="25"/>
      <c r="H38" s="4"/>
      <c r="I38" s="29"/>
      <c r="J38" s="30"/>
      <c r="K38" s="18"/>
      <c r="L38" s="23" cm="1">
        <f t="array" ref="L38">_xlfn.IFERROR(VLOOKUP(D38,'Lookups'!$A$2:$C$17,2,FALSE),0)</f>
        <v>0</v>
      </c>
      <c r="M38" s="23" cm="1">
        <f t="array" ref="M38">K38*L38</f>
        <v>0</v>
      </c>
      <c r="N38" s="18"/>
      <c r="O38" s="23"/>
      <c r="P38" s="23" cm="1">
        <f t="array" ref="P38">N38*O38</f>
        <v>0</v>
      </c>
      <c r="Q38" t="s" s="17">
        <v>44</v>
      </c>
      <c r="R38" s="23" cm="1">
        <f t="array" ref="R38">(M38+P38)*(1+VALUE(SUBSTITUTE(Q38,"%",""))/100)</f>
        <v>0</v>
      </c>
      <c r="S38" t="s" s="17">
        <v>31</v>
      </c>
    </row>
    <row r="39" ht="16" customHeight="1">
      <c r="A39" s="15">
        <v>3</v>
      </c>
      <c r="B39" s="18"/>
      <c r="C39" s="28"/>
      <c r="D39" s="18"/>
      <c r="E39" s="18"/>
      <c r="F39" s="18"/>
      <c r="G39" s="25"/>
      <c r="H39" s="4"/>
      <c r="I39" s="29"/>
      <c r="J39" s="30"/>
      <c r="K39" s="18"/>
      <c r="L39" s="23" cm="1">
        <f t="array" ref="L39">_xlfn.IFERROR(VLOOKUP(D39,'Lookups'!$A$2:$C$17,2,FALSE),0)</f>
        <v>0</v>
      </c>
      <c r="M39" s="23" cm="1">
        <f t="array" ref="M39">K39*L39</f>
        <v>0</v>
      </c>
      <c r="N39" s="18"/>
      <c r="O39" s="23"/>
      <c r="P39" s="23" cm="1">
        <f t="array" ref="P39">N39*O39</f>
        <v>0</v>
      </c>
      <c r="Q39" t="s" s="17">
        <v>37</v>
      </c>
      <c r="R39" s="23" cm="1">
        <f t="array" ref="R39">(M39+P39)*(1+VALUE(SUBSTITUTE(Q39,"%",""))/100)</f>
        <v>0</v>
      </c>
      <c r="S39" t="s" s="17">
        <v>31</v>
      </c>
    </row>
    <row r="40" ht="16" customHeight="1">
      <c r="A40" s="15">
        <v>3</v>
      </c>
      <c r="B40" s="18"/>
      <c r="C40" s="28"/>
      <c r="D40" s="18"/>
      <c r="E40" s="18"/>
      <c r="F40" s="18"/>
      <c r="G40" s="25"/>
      <c r="H40" s="4"/>
      <c r="I40" s="29"/>
      <c r="J40" s="30"/>
      <c r="K40" s="18"/>
      <c r="L40" s="23" cm="1">
        <f t="array" ref="L40">_xlfn.IFERROR(VLOOKUP(D40,'Lookups'!$A$2:$C$17,2,FALSE),0)</f>
        <v>0</v>
      </c>
      <c r="M40" s="23" cm="1">
        <f t="array" ref="M40">K40*L40</f>
        <v>0</v>
      </c>
      <c r="N40" s="18"/>
      <c r="O40" s="23"/>
      <c r="P40" s="23" cm="1">
        <f t="array" ref="P40">N40*O40</f>
        <v>0</v>
      </c>
      <c r="Q40" t="s" s="17">
        <v>37</v>
      </c>
      <c r="R40" s="23" cm="1">
        <f t="array" ref="R40">(M40+P40)*(1+VALUE(SUBSTITUTE(Q40,"%",""))/100)</f>
        <v>0</v>
      </c>
      <c r="S40" t="s" s="17">
        <v>31</v>
      </c>
    </row>
    <row r="41" ht="16" customHeight="1">
      <c r="A41" s="15">
        <v>3</v>
      </c>
      <c r="B41" s="18"/>
      <c r="C41" s="28"/>
      <c r="D41" s="18"/>
      <c r="E41" s="18"/>
      <c r="F41" s="18"/>
      <c r="G41" s="25"/>
      <c r="H41" s="4"/>
      <c r="I41" s="29"/>
      <c r="J41" s="30"/>
      <c r="K41" s="18"/>
      <c r="L41" s="23" cm="1">
        <f t="array" ref="L41">_xlfn.IFERROR(VLOOKUP(D41,'Lookups'!$A$2:$C$17,2,FALSE),0)</f>
        <v>0</v>
      </c>
      <c r="M41" s="23" cm="1">
        <f t="array" ref="M41">K41*L41</f>
        <v>0</v>
      </c>
      <c r="N41" s="18"/>
      <c r="O41" s="23"/>
      <c r="P41" s="23" cm="1">
        <f t="array" ref="P41">N41*O41</f>
        <v>0</v>
      </c>
      <c r="Q41" t="s" s="17">
        <v>37</v>
      </c>
      <c r="R41" s="23" cm="1">
        <f t="array" ref="R41">(M41+P41)*(1+VALUE(SUBSTITUTE(Q41,"%",""))/100)</f>
        <v>0</v>
      </c>
      <c r="S41" t="s" s="17">
        <v>31</v>
      </c>
    </row>
    <row r="42" ht="16" customHeight="1">
      <c r="A42" s="15">
        <v>3</v>
      </c>
      <c r="B42" s="18"/>
      <c r="C42" s="28"/>
      <c r="D42" s="18"/>
      <c r="E42" s="18"/>
      <c r="F42" s="18"/>
      <c r="G42" s="25"/>
      <c r="H42" s="4"/>
      <c r="I42" s="29"/>
      <c r="J42" s="30"/>
      <c r="K42" s="18"/>
      <c r="L42" s="23" cm="1">
        <f t="array" ref="L42">_xlfn.IFERROR(VLOOKUP(D42,'Lookups'!$A$2:$C$17,2,FALSE),0)</f>
        <v>0</v>
      </c>
      <c r="M42" s="23" cm="1">
        <f t="array" ref="M42">K42*L42</f>
        <v>0</v>
      </c>
      <c r="N42" s="18"/>
      <c r="O42" s="23"/>
      <c r="P42" s="23" cm="1">
        <f t="array" ref="P42">N42*O42</f>
        <v>0</v>
      </c>
      <c r="Q42" t="s" s="17">
        <v>37</v>
      </c>
      <c r="R42" s="23" cm="1">
        <f t="array" ref="R42">(M42+P42)*(1+VALUE(SUBSTITUTE(Q42,"%",""))/100)</f>
        <v>0</v>
      </c>
      <c r="S42" t="s" s="17">
        <v>31</v>
      </c>
    </row>
    <row r="43" ht="16" customHeight="1">
      <c r="A43" s="15">
        <v>3</v>
      </c>
      <c r="B43" s="18"/>
      <c r="C43" s="28"/>
      <c r="D43" s="18"/>
      <c r="E43" s="18"/>
      <c r="F43" s="18"/>
      <c r="G43" s="25"/>
      <c r="H43" s="4"/>
      <c r="I43" s="29"/>
      <c r="J43" s="30"/>
      <c r="K43" s="18"/>
      <c r="L43" s="23" cm="1">
        <f t="array" ref="L43">_xlfn.IFERROR(VLOOKUP(D43,'Lookups'!$A$2:$C$17,2,FALSE),0)</f>
        <v>0</v>
      </c>
      <c r="M43" s="23" cm="1">
        <f t="array" ref="M43">K43*L43</f>
        <v>0</v>
      </c>
      <c r="N43" s="18"/>
      <c r="O43" s="23"/>
      <c r="P43" s="23" cm="1">
        <f t="array" ref="P43">N43*O43</f>
        <v>0</v>
      </c>
      <c r="Q43" t="s" s="17">
        <v>37</v>
      </c>
      <c r="R43" s="23" cm="1">
        <f t="array" ref="R43">(M43+P43)*(1+VALUE(SUBSTITUTE(Q43,"%",""))/100)</f>
        <v>0</v>
      </c>
      <c r="S43" t="s" s="17">
        <v>31</v>
      </c>
    </row>
    <row r="44" ht="16" customHeight="1">
      <c r="A44" s="15">
        <v>3</v>
      </c>
      <c r="B44" s="18"/>
      <c r="C44" s="28"/>
      <c r="D44" s="18"/>
      <c r="E44" s="18"/>
      <c r="F44" s="18"/>
      <c r="G44" s="31"/>
      <c r="H44" s="9"/>
      <c r="I44" s="32"/>
      <c r="J44" s="33"/>
      <c r="K44" s="18"/>
      <c r="L44" s="23" cm="1">
        <f t="array" ref="L44">_xlfn.IFERROR(VLOOKUP(D44,'Lookups'!$A$2:$C$17,2,FALSE),0)</f>
        <v>0</v>
      </c>
      <c r="M44" s="23" cm="1">
        <f t="array" ref="M44">K44*L44</f>
        <v>0</v>
      </c>
      <c r="N44" s="18"/>
      <c r="O44" s="23"/>
      <c r="P44" s="23" cm="1">
        <f t="array" ref="P44">N44*O44</f>
        <v>0</v>
      </c>
      <c r="Q44" t="s" s="17">
        <v>37</v>
      </c>
      <c r="R44" s="23" cm="1">
        <f t="array" ref="R44">(M44+P44)*(1+VALUE(SUBSTITUTE(Q44,"%",""))/100)</f>
        <v>0</v>
      </c>
      <c r="S44" t="s" s="17">
        <v>31</v>
      </c>
    </row>
    <row r="45" ht="16" customHeight="1">
      <c r="A45" t="s" s="11">
        <v>45</v>
      </c>
      <c r="B45" s="12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4"/>
      <c r="P45" s="12"/>
      <c r="Q45" s="13"/>
      <c r="R45" s="13"/>
      <c r="S45" s="14"/>
    </row>
    <row r="46" ht="16" customHeight="1">
      <c r="A46" s="15">
        <v>4</v>
      </c>
      <c r="B46" t="s" s="16">
        <v>25</v>
      </c>
      <c r="C46" t="s" s="17">
        <v>26</v>
      </c>
      <c r="D46" t="s" s="16">
        <v>27</v>
      </c>
      <c r="E46" s="18"/>
      <c r="F46" t="s" s="16">
        <v>46</v>
      </c>
      <c r="G46" s="19"/>
      <c r="H46" s="20"/>
      <c r="I46" t="s" s="21">
        <v>47</v>
      </c>
      <c r="J46" t="s" s="22">
        <v>30</v>
      </c>
      <c r="K46" s="18"/>
      <c r="L46" s="23" cm="1">
        <f t="array" ref="L46">_xlfn.IFERROR(VLOOKUP(D46,'Lookups'!$A$2:$C$17,2,FALSE),0)</f>
        <v>45</v>
      </c>
      <c r="M46" s="23">
        <v>450</v>
      </c>
      <c r="N46" s="18"/>
      <c r="O46" s="23"/>
      <c r="P46" s="23" cm="1">
        <f t="array" ref="P46">N46*O46</f>
        <v>0</v>
      </c>
      <c r="Q46" s="24">
        <v>0</v>
      </c>
      <c r="R46" s="23" cm="1">
        <f t="array" ref="R46">(M46+P46)*(1+VALUE(SUBSTITUTE(Q46,"%",""))/100)</f>
        <v>450</v>
      </c>
      <c r="S46" t="s" s="17">
        <v>31</v>
      </c>
    </row>
    <row r="47" ht="16" customHeight="1">
      <c r="A47" s="15">
        <v>4</v>
      </c>
      <c r="B47" t="s" s="16">
        <v>34</v>
      </c>
      <c r="C47" t="s" s="17">
        <v>26</v>
      </c>
      <c r="D47" t="s" s="16">
        <v>35</v>
      </c>
      <c r="E47" s="18"/>
      <c r="F47" s="18"/>
      <c r="G47" s="25"/>
      <c r="H47" s="4"/>
      <c r="I47" t="s" s="26">
        <v>47</v>
      </c>
      <c r="J47" t="s" s="27">
        <v>30</v>
      </c>
      <c r="K47" s="18"/>
      <c r="L47" s="23" cm="1">
        <f t="array" ref="L47">_xlfn.IFERROR(VLOOKUP(D47,'Lookups'!$A$2:$C$17,2,FALSE),0)</f>
        <v>0</v>
      </c>
      <c r="M47" s="23">
        <v>1100</v>
      </c>
      <c r="N47" s="18"/>
      <c r="O47" s="23"/>
      <c r="P47" s="23" cm="1">
        <f t="array" ref="P47">N47*O47</f>
        <v>0</v>
      </c>
      <c r="Q47" s="24">
        <v>0</v>
      </c>
      <c r="R47" s="23" cm="1">
        <f t="array" ref="R47">(M47+P47)*(1+VALUE(SUBSTITUTE(Q47,"%",""))/100)</f>
        <v>1100</v>
      </c>
      <c r="S47" t="s" s="17">
        <v>31</v>
      </c>
    </row>
    <row r="48" ht="16" customHeight="1">
      <c r="A48" s="15">
        <v>4</v>
      </c>
      <c r="B48" s="18"/>
      <c r="C48" s="28"/>
      <c r="D48" s="18"/>
      <c r="E48" s="18"/>
      <c r="F48" s="18"/>
      <c r="G48" s="25"/>
      <c r="H48" s="4"/>
      <c r="I48" s="29"/>
      <c r="J48" s="30"/>
      <c r="K48" s="18"/>
      <c r="L48" s="23" cm="1">
        <f t="array" ref="L48">_xlfn.IFERROR(VLOOKUP(D48,'Lookups'!$A$2:$C$17,2,FALSE),0)</f>
        <v>0</v>
      </c>
      <c r="M48" s="23" cm="1">
        <f t="array" ref="M48">K48*L48</f>
        <v>0</v>
      </c>
      <c r="N48" s="18"/>
      <c r="O48" s="23"/>
      <c r="P48" s="23" cm="1">
        <f t="array" ref="P48">N48*O48</f>
        <v>0</v>
      </c>
      <c r="Q48" t="s" s="17">
        <v>37</v>
      </c>
      <c r="R48" s="23" cm="1">
        <f t="array" ref="R48">(M48+P48)*(1+VALUE(SUBSTITUTE(Q48,"%",""))/100)</f>
        <v>0</v>
      </c>
      <c r="S48" t="s" s="17">
        <v>31</v>
      </c>
    </row>
    <row r="49" ht="16" customHeight="1">
      <c r="A49" s="15">
        <v>4</v>
      </c>
      <c r="B49" s="18"/>
      <c r="C49" s="28"/>
      <c r="D49" s="18"/>
      <c r="E49" s="18"/>
      <c r="F49" s="18"/>
      <c r="G49" s="25"/>
      <c r="H49" s="4"/>
      <c r="I49" s="29"/>
      <c r="J49" s="30"/>
      <c r="K49" s="18"/>
      <c r="L49" s="23" cm="1">
        <f t="array" ref="L49">_xlfn.IFERROR(VLOOKUP(D49,'Lookups'!$A$2:$C$17,2,FALSE),0)</f>
        <v>0</v>
      </c>
      <c r="M49" s="23" cm="1">
        <f t="array" ref="M49">K49*L49</f>
        <v>0</v>
      </c>
      <c r="N49" s="18"/>
      <c r="O49" s="23"/>
      <c r="P49" s="23" cm="1">
        <f t="array" ref="P49">N49*O49</f>
        <v>0</v>
      </c>
      <c r="Q49" t="s" s="17">
        <v>37</v>
      </c>
      <c r="R49" s="23" cm="1">
        <f t="array" ref="R49">(M49+P49)*(1+VALUE(SUBSTITUTE(Q49,"%",""))/100)</f>
        <v>0</v>
      </c>
      <c r="S49" t="s" s="17">
        <v>31</v>
      </c>
    </row>
    <row r="50" ht="16" customHeight="1">
      <c r="A50" s="15">
        <v>4</v>
      </c>
      <c r="B50" s="18"/>
      <c r="C50" s="28"/>
      <c r="D50" s="18"/>
      <c r="E50" s="18"/>
      <c r="F50" s="18"/>
      <c r="G50" s="25"/>
      <c r="H50" s="4"/>
      <c r="I50" s="29"/>
      <c r="J50" s="30"/>
      <c r="K50" s="18"/>
      <c r="L50" s="23" cm="1">
        <f t="array" ref="L50">_xlfn.IFERROR(VLOOKUP(D50,'Lookups'!$A$2:$C$17,2,FALSE),0)</f>
        <v>0</v>
      </c>
      <c r="M50" s="23" cm="1">
        <f t="array" ref="M50">K50*L50</f>
        <v>0</v>
      </c>
      <c r="N50" s="18"/>
      <c r="O50" s="23"/>
      <c r="P50" s="23" cm="1">
        <f t="array" ref="P50">N50*O50</f>
        <v>0</v>
      </c>
      <c r="Q50" t="s" s="17">
        <v>37</v>
      </c>
      <c r="R50" s="23" cm="1">
        <f t="array" ref="R50">(M50+P50)*(1+VALUE(SUBSTITUTE(Q50,"%",""))/100)</f>
        <v>0</v>
      </c>
      <c r="S50" t="s" s="17">
        <v>31</v>
      </c>
    </row>
    <row r="51" ht="16" customHeight="1">
      <c r="A51" s="15">
        <v>4</v>
      </c>
      <c r="B51" s="18"/>
      <c r="C51" s="28"/>
      <c r="D51" s="18"/>
      <c r="E51" s="18"/>
      <c r="F51" s="18"/>
      <c r="G51" s="25"/>
      <c r="H51" s="4"/>
      <c r="I51" s="29"/>
      <c r="J51" s="30"/>
      <c r="K51" s="18"/>
      <c r="L51" s="23" cm="1">
        <f t="array" ref="L51">_xlfn.IFERROR(VLOOKUP(D51,'Lookups'!$A$2:$C$17,2,FALSE),0)</f>
        <v>0</v>
      </c>
      <c r="M51" s="23" cm="1">
        <f t="array" ref="M51">K51*L51</f>
        <v>0</v>
      </c>
      <c r="N51" s="18"/>
      <c r="O51" s="23"/>
      <c r="P51" s="23" cm="1">
        <f t="array" ref="P51">N51*O51</f>
        <v>0</v>
      </c>
      <c r="Q51" t="s" s="17">
        <v>37</v>
      </c>
      <c r="R51" s="23" cm="1">
        <f t="array" ref="R51">(M51+P51)*(1+VALUE(SUBSTITUTE(Q51,"%",""))/100)</f>
        <v>0</v>
      </c>
      <c r="S51" t="s" s="17">
        <v>31</v>
      </c>
    </row>
    <row r="52" ht="16" customHeight="1">
      <c r="A52" s="15">
        <v>4</v>
      </c>
      <c r="B52" s="18"/>
      <c r="C52" s="28"/>
      <c r="D52" s="18"/>
      <c r="E52" s="18"/>
      <c r="F52" s="18"/>
      <c r="G52" s="25"/>
      <c r="H52" s="4"/>
      <c r="I52" s="29"/>
      <c r="J52" s="30"/>
      <c r="K52" s="18"/>
      <c r="L52" s="23" cm="1">
        <f t="array" ref="L52">_xlfn.IFERROR(VLOOKUP(D52,'Lookups'!$A$2:$C$17,2,FALSE),0)</f>
        <v>0</v>
      </c>
      <c r="M52" s="23" cm="1">
        <f t="array" ref="M52">K52*L52</f>
        <v>0</v>
      </c>
      <c r="N52" s="18"/>
      <c r="O52" s="23"/>
      <c r="P52" s="23" cm="1">
        <f t="array" ref="P52">N52*O52</f>
        <v>0</v>
      </c>
      <c r="Q52" t="s" s="17">
        <v>37</v>
      </c>
      <c r="R52" s="23" cm="1">
        <f t="array" ref="R52">(M52+P52)*(1+VALUE(SUBSTITUTE(Q52,"%",""))/100)</f>
        <v>0</v>
      </c>
      <c r="S52" t="s" s="17">
        <v>31</v>
      </c>
    </row>
    <row r="53" ht="16" customHeight="1">
      <c r="A53" s="15">
        <v>4</v>
      </c>
      <c r="B53" s="18"/>
      <c r="C53" s="28"/>
      <c r="D53" s="18"/>
      <c r="E53" s="18"/>
      <c r="F53" s="18"/>
      <c r="G53" s="25"/>
      <c r="H53" s="4"/>
      <c r="I53" s="29"/>
      <c r="J53" s="30"/>
      <c r="K53" s="18"/>
      <c r="L53" s="23" cm="1">
        <f t="array" ref="L53">_xlfn.IFERROR(VLOOKUP(D53,'Lookups'!$A$2:$C$17,2,FALSE),0)</f>
        <v>0</v>
      </c>
      <c r="M53" s="23" cm="1">
        <f t="array" ref="M53">K53*L53</f>
        <v>0</v>
      </c>
      <c r="N53" s="18"/>
      <c r="O53" s="23"/>
      <c r="P53" s="23" cm="1">
        <f t="array" ref="P53">N53*O53</f>
        <v>0</v>
      </c>
      <c r="Q53" t="s" s="17">
        <v>37</v>
      </c>
      <c r="R53" s="23" cm="1">
        <f t="array" ref="R53">(M53+P53)*(1+VALUE(SUBSTITUTE(Q53,"%",""))/100)</f>
        <v>0</v>
      </c>
      <c r="S53" t="s" s="17">
        <v>31</v>
      </c>
    </row>
    <row r="54" ht="16" customHeight="1">
      <c r="A54" s="15">
        <v>4</v>
      </c>
      <c r="B54" s="18"/>
      <c r="C54" s="28"/>
      <c r="D54" s="18"/>
      <c r="E54" s="18"/>
      <c r="F54" s="18"/>
      <c r="G54" s="25"/>
      <c r="H54" s="4"/>
      <c r="I54" s="29"/>
      <c r="J54" s="30"/>
      <c r="K54" s="18"/>
      <c r="L54" s="23" cm="1">
        <f t="array" ref="L54">_xlfn.IFERROR(VLOOKUP(D54,'Lookups'!$A$2:$C$17,2,FALSE),0)</f>
        <v>0</v>
      </c>
      <c r="M54" s="23" cm="1">
        <f t="array" ref="M54">K54*L54</f>
        <v>0</v>
      </c>
      <c r="N54" s="18"/>
      <c r="O54" s="23"/>
      <c r="P54" s="23" cm="1">
        <f t="array" ref="P54">N54*O54</f>
        <v>0</v>
      </c>
      <c r="Q54" t="s" s="17">
        <v>37</v>
      </c>
      <c r="R54" s="23" cm="1">
        <f t="array" ref="R54">(M54+P54)*(1+VALUE(SUBSTITUTE(Q54,"%",""))/100)</f>
        <v>0</v>
      </c>
      <c r="S54" t="s" s="17">
        <v>31</v>
      </c>
    </row>
    <row r="55" ht="16" customHeight="1">
      <c r="A55" s="15">
        <v>4</v>
      </c>
      <c r="B55" s="18"/>
      <c r="C55" s="28"/>
      <c r="D55" s="18"/>
      <c r="E55" s="18"/>
      <c r="F55" s="18"/>
      <c r="G55" s="25"/>
      <c r="H55" s="4"/>
      <c r="I55" s="29"/>
      <c r="J55" s="30"/>
      <c r="K55" s="18"/>
      <c r="L55" s="23" cm="1">
        <f t="array" ref="L55">_xlfn.IFERROR(VLOOKUP(D55,'Lookups'!$A$2:$C$17,2,FALSE),0)</f>
        <v>0</v>
      </c>
      <c r="M55" s="23" cm="1">
        <f t="array" ref="M55">K55*L55</f>
        <v>0</v>
      </c>
      <c r="N55" s="18"/>
      <c r="O55" s="23"/>
      <c r="P55" s="23" cm="1">
        <f t="array" ref="P55">N55*O55</f>
        <v>0</v>
      </c>
      <c r="Q55" t="s" s="17">
        <v>37</v>
      </c>
      <c r="R55" s="23" cm="1">
        <f t="array" ref="R55">(M55+P55)*(1+VALUE(SUBSTITUTE(Q55,"%",""))/100)</f>
        <v>0</v>
      </c>
      <c r="S55" t="s" s="17">
        <v>31</v>
      </c>
    </row>
    <row r="56" ht="16" customHeight="1">
      <c r="A56" s="15">
        <v>4</v>
      </c>
      <c r="B56" s="18"/>
      <c r="C56" s="28"/>
      <c r="D56" s="18"/>
      <c r="E56" s="18"/>
      <c r="F56" s="18"/>
      <c r="G56" s="25"/>
      <c r="H56" s="4"/>
      <c r="I56" s="29"/>
      <c r="J56" s="30"/>
      <c r="K56" s="18"/>
      <c r="L56" s="23" cm="1">
        <f t="array" ref="L56">_xlfn.IFERROR(VLOOKUP(D56,'Lookups'!$A$2:$C$17,2,FALSE),0)</f>
        <v>0</v>
      </c>
      <c r="M56" s="23" cm="1">
        <f t="array" ref="M56">K56*L56</f>
        <v>0</v>
      </c>
      <c r="N56" s="18"/>
      <c r="O56" s="23"/>
      <c r="P56" s="23" cm="1">
        <f t="array" ref="P56">N56*O56</f>
        <v>0</v>
      </c>
      <c r="Q56" t="s" s="17">
        <v>37</v>
      </c>
      <c r="R56" s="23" cm="1">
        <f t="array" ref="R56">(M56+P56)*(1+VALUE(SUBSTITUTE(Q56,"%",""))/100)</f>
        <v>0</v>
      </c>
      <c r="S56" t="s" s="17">
        <v>31</v>
      </c>
    </row>
    <row r="57" ht="16" customHeight="1">
      <c r="A57" s="15">
        <v>4</v>
      </c>
      <c r="B57" s="18"/>
      <c r="C57" s="28"/>
      <c r="D57" s="18"/>
      <c r="E57" s="18"/>
      <c r="F57" s="18"/>
      <c r="G57" s="31"/>
      <c r="H57" s="9"/>
      <c r="I57" s="32"/>
      <c r="J57" s="33"/>
      <c r="K57" s="18"/>
      <c r="L57" s="23" cm="1">
        <f t="array" ref="L57">_xlfn.IFERROR(VLOOKUP(D57,'Lookups'!$A$2:$C$17,2,FALSE),0)</f>
        <v>0</v>
      </c>
      <c r="M57" s="23" cm="1">
        <f t="array" ref="M57">K57*L57</f>
        <v>0</v>
      </c>
      <c r="N57" s="18"/>
      <c r="O57" s="23"/>
      <c r="P57" s="23" cm="1">
        <f t="array" ref="P57">N57*O57</f>
        <v>0</v>
      </c>
      <c r="Q57" t="s" s="17">
        <v>37</v>
      </c>
      <c r="R57" s="23" cm="1">
        <f t="array" ref="R57">(M57+P57)*(1+VALUE(SUBSTITUTE(Q57,"%",""))/100)</f>
        <v>0</v>
      </c>
      <c r="S57" t="s" s="17">
        <v>31</v>
      </c>
    </row>
    <row r="58" ht="16" customHeight="1">
      <c r="A58" t="s" s="11">
        <v>48</v>
      </c>
      <c r="B58" s="12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4"/>
      <c r="P58" s="12"/>
      <c r="Q58" s="13"/>
      <c r="R58" s="13"/>
      <c r="S58" s="14"/>
    </row>
    <row r="59" ht="16" customHeight="1">
      <c r="A59" s="15">
        <v>5</v>
      </c>
      <c r="B59" t="s" s="16">
        <v>49</v>
      </c>
      <c r="C59" t="s" s="17">
        <v>26</v>
      </c>
      <c r="D59" t="s" s="16">
        <v>35</v>
      </c>
      <c r="E59" s="18"/>
      <c r="F59" s="18"/>
      <c r="G59" t="s" s="34">
        <v>50</v>
      </c>
      <c r="H59" s="19"/>
      <c r="I59" t="s" s="21">
        <v>51</v>
      </c>
      <c r="J59" t="s" s="22">
        <v>30</v>
      </c>
      <c r="K59" s="18"/>
      <c r="L59" s="23" cm="1">
        <f t="array" ref="L59">_xlfn.IFERROR(VLOOKUP(D59,'Lookups'!$A$2:$C$17,2,FALSE),0)</f>
        <v>0</v>
      </c>
      <c r="M59" s="23">
        <v>480</v>
      </c>
      <c r="N59" s="18"/>
      <c r="O59" s="23"/>
      <c r="P59" s="23" cm="1">
        <f t="array" ref="P59">N59*O59</f>
        <v>0</v>
      </c>
      <c r="Q59" s="24">
        <v>0</v>
      </c>
      <c r="R59" s="23" cm="1">
        <f t="array" ref="R59">(M59+P59)*(1+VALUE(SUBSTITUTE(Q59,"%",""))/100)</f>
        <v>480</v>
      </c>
      <c r="S59" t="s" s="17">
        <v>31</v>
      </c>
    </row>
    <row r="60" ht="16" customHeight="1">
      <c r="A60" s="15">
        <v>5</v>
      </c>
      <c r="B60" t="s" s="16">
        <v>25</v>
      </c>
      <c r="C60" t="s" s="17">
        <v>26</v>
      </c>
      <c r="D60" t="s" s="16">
        <v>27</v>
      </c>
      <c r="E60" s="18"/>
      <c r="F60" s="18"/>
      <c r="G60" s="25"/>
      <c r="H60" s="4"/>
      <c r="I60" t="s" s="26">
        <v>51</v>
      </c>
      <c r="J60" t="s" s="27">
        <v>30</v>
      </c>
      <c r="K60" s="18"/>
      <c r="L60" s="23" cm="1">
        <f t="array" ref="L60">_xlfn.IFERROR(VLOOKUP(D60,'Lookups'!$A$2:$C$17,2,FALSE),0)</f>
        <v>45</v>
      </c>
      <c r="M60" s="23">
        <v>450</v>
      </c>
      <c r="N60" s="18"/>
      <c r="O60" s="23"/>
      <c r="P60" s="23" cm="1">
        <f t="array" ref="P60">N60*O60</f>
        <v>0</v>
      </c>
      <c r="Q60" s="24">
        <v>0</v>
      </c>
      <c r="R60" s="23" cm="1">
        <f t="array" ref="R60">(M60+P60)*(1+VALUE(SUBSTITUTE(Q60,"%",""))/100)</f>
        <v>450</v>
      </c>
      <c r="S60" t="s" s="17">
        <v>31</v>
      </c>
    </row>
    <row r="61" ht="16" customHeight="1">
      <c r="A61" s="15">
        <v>5</v>
      </c>
      <c r="B61" t="s" s="16">
        <v>52</v>
      </c>
      <c r="C61" t="s" s="17">
        <v>26</v>
      </c>
      <c r="D61" t="s" s="16">
        <v>27</v>
      </c>
      <c r="E61" s="18"/>
      <c r="F61" s="18"/>
      <c r="G61" s="25"/>
      <c r="H61" s="4"/>
      <c r="I61" t="s" s="26">
        <v>51</v>
      </c>
      <c r="J61" t="s" s="27">
        <v>30</v>
      </c>
      <c r="K61" s="18"/>
      <c r="L61" s="23" cm="1">
        <f t="array" ref="L61">_xlfn.IFERROR(VLOOKUP(D61,'Lookups'!$A$2:$C$17,2,FALSE),0)</f>
        <v>45</v>
      </c>
      <c r="M61" s="23">
        <v>1250</v>
      </c>
      <c r="N61" s="18"/>
      <c r="O61" s="23"/>
      <c r="P61" s="23" cm="1">
        <f t="array" ref="P61">N61*O61</f>
        <v>0</v>
      </c>
      <c r="Q61" s="24">
        <v>0</v>
      </c>
      <c r="R61" s="23" cm="1">
        <f t="array" ref="R61">(M61+P61)*(1+VALUE(SUBSTITUTE(Q61,"%",""))/100)</f>
        <v>1250</v>
      </c>
      <c r="S61" t="s" s="17">
        <v>31</v>
      </c>
    </row>
    <row r="62" ht="16" customHeight="1">
      <c r="A62" s="15">
        <v>5</v>
      </c>
      <c r="B62" t="s" s="16">
        <v>53</v>
      </c>
      <c r="C62" t="s" s="17">
        <v>54</v>
      </c>
      <c r="D62" t="s" s="16">
        <v>55</v>
      </c>
      <c r="E62" s="18"/>
      <c r="F62" s="18"/>
      <c r="G62" s="25"/>
      <c r="H62" s="4"/>
      <c r="I62" t="s" s="26">
        <v>51</v>
      </c>
      <c r="J62" t="s" s="27">
        <v>56</v>
      </c>
      <c r="K62" s="18"/>
      <c r="L62" s="23" cm="1">
        <f t="array" ref="L62">_xlfn.IFERROR(VLOOKUP(D62,'Lookups'!$A$2:$C$17,2,FALSE),0)</f>
        <v>50</v>
      </c>
      <c r="M62" s="23">
        <v>1025</v>
      </c>
      <c r="N62" s="18"/>
      <c r="O62" s="23"/>
      <c r="P62" s="23" cm="1">
        <f t="array" ref="P62">N62*O62</f>
        <v>0</v>
      </c>
      <c r="Q62" s="24">
        <v>0</v>
      </c>
      <c r="R62" s="23" cm="1">
        <f t="array" ref="R62">(M62+P62)*(1+VALUE(SUBSTITUTE(Q62,"%",""))/100)</f>
        <v>1025</v>
      </c>
      <c r="S62" t="s" s="17">
        <v>31</v>
      </c>
    </row>
    <row r="63" ht="16" customHeight="1">
      <c r="A63" s="15">
        <v>5</v>
      </c>
      <c r="B63" s="18"/>
      <c r="C63" s="28"/>
      <c r="D63" s="18"/>
      <c r="E63" s="18"/>
      <c r="F63" s="18"/>
      <c r="G63" s="25"/>
      <c r="H63" s="4"/>
      <c r="I63" s="29"/>
      <c r="J63" s="30"/>
      <c r="K63" s="18"/>
      <c r="L63" s="23" cm="1">
        <f t="array" ref="L63">_xlfn.IFERROR(VLOOKUP(D63,'Lookups'!$A$2:$C$17,2,FALSE),0)</f>
        <v>0</v>
      </c>
      <c r="M63" s="23" cm="1">
        <f t="array" ref="M63">K63*L63</f>
        <v>0</v>
      </c>
      <c r="N63" s="18"/>
      <c r="O63" s="23"/>
      <c r="P63" s="23" cm="1">
        <f t="array" ref="P63">N63*O63</f>
        <v>0</v>
      </c>
      <c r="Q63" t="s" s="17">
        <v>37</v>
      </c>
      <c r="R63" s="23" cm="1">
        <f t="array" ref="R63">(M63+P63)*(1+VALUE(SUBSTITUTE(Q63,"%",""))/100)</f>
        <v>0</v>
      </c>
      <c r="S63" t="s" s="17">
        <v>31</v>
      </c>
    </row>
    <row r="64" ht="16" customHeight="1">
      <c r="A64" s="15">
        <v>5</v>
      </c>
      <c r="B64" s="18"/>
      <c r="C64" s="28"/>
      <c r="D64" s="18"/>
      <c r="E64" s="18"/>
      <c r="F64" s="18"/>
      <c r="G64" s="25"/>
      <c r="H64" s="4"/>
      <c r="I64" s="29"/>
      <c r="J64" s="30"/>
      <c r="K64" s="18"/>
      <c r="L64" s="23" cm="1">
        <f t="array" ref="L64">_xlfn.IFERROR(VLOOKUP(D64,'Lookups'!$A$2:$C$17,2,FALSE),0)</f>
        <v>0</v>
      </c>
      <c r="M64" s="23" cm="1">
        <f t="array" ref="M64">K64*L64</f>
        <v>0</v>
      </c>
      <c r="N64" s="18"/>
      <c r="O64" s="23"/>
      <c r="P64" s="23" cm="1">
        <f t="array" ref="P64">N64*O64</f>
        <v>0</v>
      </c>
      <c r="Q64" t="s" s="17">
        <v>37</v>
      </c>
      <c r="R64" s="23" cm="1">
        <f t="array" ref="R64">(M64+P64)*(1+VALUE(SUBSTITUTE(Q64,"%",""))/100)</f>
        <v>0</v>
      </c>
      <c r="S64" t="s" s="17">
        <v>31</v>
      </c>
    </row>
    <row r="65" ht="16" customHeight="1">
      <c r="A65" s="15">
        <v>5</v>
      </c>
      <c r="B65" s="18"/>
      <c r="C65" s="28"/>
      <c r="D65" s="18"/>
      <c r="E65" s="18"/>
      <c r="F65" s="18"/>
      <c r="G65" s="25"/>
      <c r="H65" s="4"/>
      <c r="I65" s="29"/>
      <c r="J65" s="30"/>
      <c r="K65" s="18"/>
      <c r="L65" s="23" cm="1">
        <f t="array" ref="L65">_xlfn.IFERROR(VLOOKUP(D65,'Lookups'!$A$2:$C$17,2,FALSE),0)</f>
        <v>0</v>
      </c>
      <c r="M65" s="23" cm="1">
        <f t="array" ref="M65">K65*L65</f>
        <v>0</v>
      </c>
      <c r="N65" s="18"/>
      <c r="O65" s="23"/>
      <c r="P65" s="23" cm="1">
        <f t="array" ref="P65">N65*O65</f>
        <v>0</v>
      </c>
      <c r="Q65" t="s" s="17">
        <v>37</v>
      </c>
      <c r="R65" s="23" cm="1">
        <f t="array" ref="R65">(M65+P65)*(1+VALUE(SUBSTITUTE(Q65,"%",""))/100)</f>
        <v>0</v>
      </c>
      <c r="S65" t="s" s="17">
        <v>31</v>
      </c>
    </row>
    <row r="66" ht="16" customHeight="1">
      <c r="A66" s="15">
        <v>5</v>
      </c>
      <c r="B66" s="18"/>
      <c r="C66" s="28"/>
      <c r="D66" s="18"/>
      <c r="E66" s="18"/>
      <c r="F66" s="18"/>
      <c r="G66" s="25"/>
      <c r="H66" s="4"/>
      <c r="I66" s="29"/>
      <c r="J66" s="30"/>
      <c r="K66" s="18"/>
      <c r="L66" s="23" cm="1">
        <f t="array" ref="L66">_xlfn.IFERROR(VLOOKUP(D66,'Lookups'!$A$2:$C$17,2,FALSE),0)</f>
        <v>0</v>
      </c>
      <c r="M66" s="23" cm="1">
        <f t="array" ref="M66">K66*L66</f>
        <v>0</v>
      </c>
      <c r="N66" s="18"/>
      <c r="O66" s="23"/>
      <c r="P66" s="23" cm="1">
        <f t="array" ref="P66">N66*O66</f>
        <v>0</v>
      </c>
      <c r="Q66" t="s" s="17">
        <v>37</v>
      </c>
      <c r="R66" s="23" cm="1">
        <f t="array" ref="R66">(M66+P66)*(1+VALUE(SUBSTITUTE(Q66,"%",""))/100)</f>
        <v>0</v>
      </c>
      <c r="S66" t="s" s="17">
        <v>31</v>
      </c>
    </row>
    <row r="67" ht="16" customHeight="1">
      <c r="A67" s="15">
        <v>5</v>
      </c>
      <c r="B67" s="18"/>
      <c r="C67" s="28"/>
      <c r="D67" s="18"/>
      <c r="E67" s="18"/>
      <c r="F67" s="18"/>
      <c r="G67" s="25"/>
      <c r="H67" s="4"/>
      <c r="I67" s="29"/>
      <c r="J67" s="30"/>
      <c r="K67" s="18"/>
      <c r="L67" s="23" cm="1">
        <f t="array" ref="L67">_xlfn.IFERROR(VLOOKUP(D67,'Lookups'!$A$2:$C$17,2,FALSE),0)</f>
        <v>0</v>
      </c>
      <c r="M67" s="23" cm="1">
        <f t="array" ref="M67">K67*L67</f>
        <v>0</v>
      </c>
      <c r="N67" s="18"/>
      <c r="O67" s="23"/>
      <c r="P67" s="23" cm="1">
        <f t="array" ref="P67">N67*O67</f>
        <v>0</v>
      </c>
      <c r="Q67" t="s" s="17">
        <v>37</v>
      </c>
      <c r="R67" s="23" cm="1">
        <f t="array" ref="R67">(M67+P67)*(1+VALUE(SUBSTITUTE(Q67,"%",""))/100)</f>
        <v>0</v>
      </c>
      <c r="S67" t="s" s="17">
        <v>31</v>
      </c>
    </row>
    <row r="68" ht="16" customHeight="1">
      <c r="A68" s="15">
        <v>5</v>
      </c>
      <c r="B68" s="18"/>
      <c r="C68" s="28"/>
      <c r="D68" s="18"/>
      <c r="E68" s="18"/>
      <c r="F68" s="18"/>
      <c r="G68" s="25"/>
      <c r="H68" s="4"/>
      <c r="I68" s="29"/>
      <c r="J68" s="30"/>
      <c r="K68" s="18"/>
      <c r="L68" s="23" cm="1">
        <f t="array" ref="L68">_xlfn.IFERROR(VLOOKUP(D68,'Lookups'!$A$2:$C$17,2,FALSE),0)</f>
        <v>0</v>
      </c>
      <c r="M68" s="23" cm="1">
        <f t="array" ref="M68">K68*L68</f>
        <v>0</v>
      </c>
      <c r="N68" s="18"/>
      <c r="O68" s="23"/>
      <c r="P68" s="23" cm="1">
        <f t="array" ref="P68">N68*O68</f>
        <v>0</v>
      </c>
      <c r="Q68" t="s" s="17">
        <v>37</v>
      </c>
      <c r="R68" s="23" cm="1">
        <f t="array" ref="R68">(M68+P68)*(1+VALUE(SUBSTITUTE(Q68,"%",""))/100)</f>
        <v>0</v>
      </c>
      <c r="S68" t="s" s="17">
        <v>31</v>
      </c>
    </row>
    <row r="69" ht="16" customHeight="1">
      <c r="A69" s="15">
        <v>5</v>
      </c>
      <c r="B69" s="18"/>
      <c r="C69" s="28"/>
      <c r="D69" s="18"/>
      <c r="E69" s="18"/>
      <c r="F69" s="18"/>
      <c r="G69" s="25"/>
      <c r="H69" s="4"/>
      <c r="I69" s="29"/>
      <c r="J69" s="30"/>
      <c r="K69" s="18"/>
      <c r="L69" s="23" cm="1">
        <f t="array" ref="L69">_xlfn.IFERROR(VLOOKUP(D69,'Lookups'!$A$2:$C$17,2,FALSE),0)</f>
        <v>0</v>
      </c>
      <c r="M69" s="23" cm="1">
        <f t="array" ref="M69">K69*L69</f>
        <v>0</v>
      </c>
      <c r="N69" s="18"/>
      <c r="O69" s="23"/>
      <c r="P69" s="23" cm="1">
        <f t="array" ref="P69">N69*O69</f>
        <v>0</v>
      </c>
      <c r="Q69" t="s" s="17">
        <v>37</v>
      </c>
      <c r="R69" s="23" cm="1">
        <f t="array" ref="R69">(M69+P69)*(1+VALUE(SUBSTITUTE(Q69,"%",""))/100)</f>
        <v>0</v>
      </c>
      <c r="S69" t="s" s="17">
        <v>31</v>
      </c>
    </row>
    <row r="70" ht="16" customHeight="1">
      <c r="A70" s="15">
        <v>5</v>
      </c>
      <c r="B70" s="18"/>
      <c r="C70" s="28"/>
      <c r="D70" s="18"/>
      <c r="E70" s="18"/>
      <c r="F70" s="18"/>
      <c r="G70" s="31"/>
      <c r="H70" s="9"/>
      <c r="I70" s="32"/>
      <c r="J70" s="33"/>
      <c r="K70" s="18"/>
      <c r="L70" s="23" cm="1">
        <f t="array" ref="L70">_xlfn.IFERROR(VLOOKUP(D70,'Lookups'!$A$2:$C$17,2,FALSE),0)</f>
        <v>0</v>
      </c>
      <c r="M70" s="23" cm="1">
        <f t="array" ref="M70">K70*L70</f>
        <v>0</v>
      </c>
      <c r="N70" s="18"/>
      <c r="O70" s="23"/>
      <c r="P70" s="23" cm="1">
        <f t="array" ref="P70">N70*O70</f>
        <v>0</v>
      </c>
      <c r="Q70" t="s" s="17">
        <v>44</v>
      </c>
      <c r="R70" s="23" cm="1">
        <f t="array" ref="R70">(M70+P70)*(1+VALUE(SUBSTITUTE(Q70,"%",""))/100)</f>
        <v>0</v>
      </c>
      <c r="S70" t="s" s="17">
        <v>31</v>
      </c>
    </row>
    <row r="71" ht="16" customHeight="1">
      <c r="A71" t="s" s="11">
        <v>57</v>
      </c>
      <c r="B71" s="12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4"/>
      <c r="P71" s="12"/>
      <c r="Q71" s="13"/>
      <c r="R71" s="13"/>
      <c r="S71" s="14"/>
    </row>
    <row r="72" ht="16" customHeight="1">
      <c r="A72" s="15">
        <v>6</v>
      </c>
      <c r="B72" t="s" s="16">
        <v>25</v>
      </c>
      <c r="C72" t="s" s="17">
        <v>26</v>
      </c>
      <c r="D72" t="s" s="16">
        <v>27</v>
      </c>
      <c r="E72" s="18"/>
      <c r="F72" s="18"/>
      <c r="G72" s="19"/>
      <c r="H72" s="20"/>
      <c r="I72" t="s" s="21">
        <v>58</v>
      </c>
      <c r="J72" t="s" s="22">
        <v>30</v>
      </c>
      <c r="K72" s="18"/>
      <c r="L72" s="23" cm="1">
        <f t="array" ref="L72">_xlfn.IFERROR(VLOOKUP(D72,'Lookups'!$A$2:$C$17,2,FALSE),0)</f>
        <v>45</v>
      </c>
      <c r="M72" s="23">
        <v>300</v>
      </c>
      <c r="N72" s="18"/>
      <c r="O72" s="23"/>
      <c r="P72" s="23" cm="1">
        <f t="array" ref="P72">N72*O72</f>
        <v>0</v>
      </c>
      <c r="Q72" s="24">
        <v>0</v>
      </c>
      <c r="R72" s="23" cm="1">
        <f t="array" ref="R72">(M72+P72)*(1+VALUE(SUBSTITUTE(Q72,"%",""))/100)</f>
        <v>300</v>
      </c>
      <c r="S72" t="s" s="17">
        <v>31</v>
      </c>
    </row>
    <row r="73" ht="16" customHeight="1">
      <c r="A73" s="15">
        <v>6</v>
      </c>
      <c r="B73" t="s" s="16">
        <v>52</v>
      </c>
      <c r="C73" t="s" s="17">
        <v>26</v>
      </c>
      <c r="D73" t="s" s="16">
        <v>27</v>
      </c>
      <c r="E73" s="18"/>
      <c r="F73" s="18"/>
      <c r="G73" s="25"/>
      <c r="H73" s="4"/>
      <c r="I73" t="s" s="26">
        <v>58</v>
      </c>
      <c r="J73" t="s" s="27">
        <v>30</v>
      </c>
      <c r="K73" s="18"/>
      <c r="L73" s="23" cm="1">
        <f t="array" ref="L73">_xlfn.IFERROR(VLOOKUP(D73,'Lookups'!$A$2:$C$17,2,FALSE),0)</f>
        <v>45</v>
      </c>
      <c r="M73" s="23">
        <v>900</v>
      </c>
      <c r="N73" s="18"/>
      <c r="O73" s="23"/>
      <c r="P73" s="23" cm="1">
        <f t="array" ref="P73">N73*O73</f>
        <v>0</v>
      </c>
      <c r="Q73" s="24">
        <v>0</v>
      </c>
      <c r="R73" s="23" cm="1">
        <f t="array" ref="R73">(M73+P73)*(1+VALUE(SUBSTITUTE(Q73,"%",""))/100)</f>
        <v>900</v>
      </c>
      <c r="S73" t="s" s="17">
        <v>31</v>
      </c>
    </row>
    <row r="74" ht="16" customHeight="1">
      <c r="A74" s="15">
        <v>6</v>
      </c>
      <c r="B74" t="s" s="16">
        <v>59</v>
      </c>
      <c r="C74" t="s" s="17">
        <v>26</v>
      </c>
      <c r="D74" t="s" s="16">
        <v>27</v>
      </c>
      <c r="E74" s="18"/>
      <c r="F74" s="18"/>
      <c r="G74" s="25"/>
      <c r="H74" s="4"/>
      <c r="I74" t="s" s="26">
        <v>58</v>
      </c>
      <c r="J74" t="s" s="27">
        <v>30</v>
      </c>
      <c r="K74" s="18"/>
      <c r="L74" s="23" cm="1">
        <f t="array" ref="L74">_xlfn.IFERROR(VLOOKUP(D74,'Lookups'!$A$2:$C$17,2,FALSE),0)</f>
        <v>45</v>
      </c>
      <c r="M74" s="23">
        <v>300</v>
      </c>
      <c r="N74" s="18"/>
      <c r="O74" s="23"/>
      <c r="P74" s="23" cm="1">
        <f t="array" ref="P74">N74*O74</f>
        <v>0</v>
      </c>
      <c r="Q74" s="24">
        <v>0</v>
      </c>
      <c r="R74" s="23" cm="1">
        <f t="array" ref="R74">(M74+P74)*(1+VALUE(SUBSTITUTE(Q74,"%",""))/100)</f>
        <v>300</v>
      </c>
      <c r="S74" t="s" s="17">
        <v>31</v>
      </c>
    </row>
    <row r="75" ht="16" customHeight="1">
      <c r="A75" s="15">
        <v>6</v>
      </c>
      <c r="B75" t="s" s="16">
        <v>60</v>
      </c>
      <c r="C75" t="s" s="17">
        <v>54</v>
      </c>
      <c r="D75" t="s" s="16">
        <v>27</v>
      </c>
      <c r="E75" s="18"/>
      <c r="F75" s="18"/>
      <c r="G75" s="25"/>
      <c r="H75" s="4"/>
      <c r="I75" t="s" s="26">
        <v>58</v>
      </c>
      <c r="J75" t="s" s="27">
        <v>30</v>
      </c>
      <c r="K75" s="18"/>
      <c r="L75" s="23" cm="1">
        <f t="array" ref="L75">_xlfn.IFERROR(VLOOKUP(D75,'Lookups'!$A$2:$C$17,2,FALSE),0)</f>
        <v>45</v>
      </c>
      <c r="M75" s="23">
        <v>1000</v>
      </c>
      <c r="N75" s="18"/>
      <c r="O75" s="23"/>
      <c r="P75" s="23" cm="1">
        <f t="array" ref="P75">N75*O75</f>
        <v>0</v>
      </c>
      <c r="Q75" s="24">
        <v>0</v>
      </c>
      <c r="R75" s="23" cm="1">
        <f t="array" ref="R75">(M75+P75)*(1+VALUE(SUBSTITUTE(Q75,"%",""))/100)</f>
        <v>1000</v>
      </c>
      <c r="S75" t="s" s="17">
        <v>31</v>
      </c>
    </row>
    <row r="76" ht="16" customHeight="1">
      <c r="A76" s="15">
        <v>6</v>
      </c>
      <c r="B76" s="18"/>
      <c r="C76" s="28"/>
      <c r="D76" s="18"/>
      <c r="E76" s="18"/>
      <c r="F76" s="18"/>
      <c r="G76" s="25"/>
      <c r="H76" s="4"/>
      <c r="I76" s="29"/>
      <c r="J76" s="30"/>
      <c r="K76" s="18"/>
      <c r="L76" s="23" cm="1">
        <f t="array" ref="L76">_xlfn.IFERROR(VLOOKUP(D76,'Lookups'!$A$2:$C$17,2,FALSE),0)</f>
        <v>0</v>
      </c>
      <c r="M76" s="23" cm="1">
        <f t="array" ref="M76">K76*L76</f>
        <v>0</v>
      </c>
      <c r="N76" s="18"/>
      <c r="O76" s="23"/>
      <c r="P76" s="23" cm="1">
        <f t="array" ref="P76">N76*O76</f>
        <v>0</v>
      </c>
      <c r="Q76" t="s" s="17">
        <v>37</v>
      </c>
      <c r="R76" s="23" cm="1">
        <f t="array" ref="R76">(M76+P76)*(1+VALUE(SUBSTITUTE(Q76,"%",""))/100)</f>
        <v>0</v>
      </c>
      <c r="S76" t="s" s="17">
        <v>31</v>
      </c>
    </row>
    <row r="77" ht="16" customHeight="1">
      <c r="A77" s="15">
        <v>6</v>
      </c>
      <c r="B77" s="18"/>
      <c r="C77" s="28"/>
      <c r="D77" s="18"/>
      <c r="E77" s="18"/>
      <c r="F77" s="18"/>
      <c r="G77" s="25"/>
      <c r="H77" s="4"/>
      <c r="I77" s="29"/>
      <c r="J77" s="30"/>
      <c r="K77" s="18"/>
      <c r="L77" s="23" cm="1">
        <f t="array" ref="L77">_xlfn.IFERROR(VLOOKUP(D77,'Lookups'!$A$2:$C$17,2,FALSE),0)</f>
        <v>0</v>
      </c>
      <c r="M77" s="23" cm="1">
        <f t="array" ref="M77">K77*L77</f>
        <v>0</v>
      </c>
      <c r="N77" s="18"/>
      <c r="O77" s="23"/>
      <c r="P77" s="23" cm="1">
        <f t="array" ref="P77">N77*O77</f>
        <v>0</v>
      </c>
      <c r="Q77" t="s" s="17">
        <v>37</v>
      </c>
      <c r="R77" s="23" cm="1">
        <f t="array" ref="R77">(M77+P77)*(1+VALUE(SUBSTITUTE(Q77,"%",""))/100)</f>
        <v>0</v>
      </c>
      <c r="S77" t="s" s="17">
        <v>31</v>
      </c>
    </row>
    <row r="78" ht="16" customHeight="1">
      <c r="A78" s="15">
        <v>6</v>
      </c>
      <c r="B78" s="18"/>
      <c r="C78" s="28"/>
      <c r="D78" s="18"/>
      <c r="E78" s="18"/>
      <c r="F78" s="18"/>
      <c r="G78" s="25"/>
      <c r="H78" s="4"/>
      <c r="I78" s="29"/>
      <c r="J78" s="30"/>
      <c r="K78" s="18"/>
      <c r="L78" s="23" cm="1">
        <f t="array" ref="L78">_xlfn.IFERROR(VLOOKUP(D78,'Lookups'!$A$2:$C$17,2,FALSE),0)</f>
        <v>0</v>
      </c>
      <c r="M78" s="23" cm="1">
        <f t="array" ref="M78">K78*L78</f>
        <v>0</v>
      </c>
      <c r="N78" s="18"/>
      <c r="O78" s="23"/>
      <c r="P78" s="23" cm="1">
        <f t="array" ref="P78">N78*O78</f>
        <v>0</v>
      </c>
      <c r="Q78" t="s" s="17">
        <v>37</v>
      </c>
      <c r="R78" s="23" cm="1">
        <f t="array" ref="R78">(M78+P78)*(1+VALUE(SUBSTITUTE(Q78,"%",""))/100)</f>
        <v>0</v>
      </c>
      <c r="S78" t="s" s="17">
        <v>31</v>
      </c>
    </row>
    <row r="79" ht="16" customHeight="1">
      <c r="A79" s="15">
        <v>6</v>
      </c>
      <c r="B79" s="18"/>
      <c r="C79" s="28"/>
      <c r="D79" s="18"/>
      <c r="E79" s="18"/>
      <c r="F79" s="18"/>
      <c r="G79" s="25"/>
      <c r="H79" s="4"/>
      <c r="I79" s="29"/>
      <c r="J79" s="30"/>
      <c r="K79" s="18"/>
      <c r="L79" s="23" cm="1">
        <f t="array" ref="L79">_xlfn.IFERROR(VLOOKUP(D79,'Lookups'!$A$2:$C$17,2,FALSE),0)</f>
        <v>0</v>
      </c>
      <c r="M79" s="23" cm="1">
        <f t="array" ref="M79">K79*L79</f>
        <v>0</v>
      </c>
      <c r="N79" s="18"/>
      <c r="O79" s="23"/>
      <c r="P79" s="23" cm="1">
        <f t="array" ref="P79">N79*O79</f>
        <v>0</v>
      </c>
      <c r="Q79" t="s" s="17">
        <v>37</v>
      </c>
      <c r="R79" s="23" cm="1">
        <f t="array" ref="R79">(M79+P79)*(1+VALUE(SUBSTITUTE(Q79,"%",""))/100)</f>
        <v>0</v>
      </c>
      <c r="S79" t="s" s="17">
        <v>31</v>
      </c>
    </row>
    <row r="80" ht="16" customHeight="1">
      <c r="A80" s="15">
        <v>6</v>
      </c>
      <c r="B80" s="18"/>
      <c r="C80" s="28"/>
      <c r="D80" s="18"/>
      <c r="E80" s="18"/>
      <c r="F80" s="18"/>
      <c r="G80" s="25"/>
      <c r="H80" s="4"/>
      <c r="I80" s="29"/>
      <c r="J80" s="30"/>
      <c r="K80" s="18"/>
      <c r="L80" s="23" cm="1">
        <f t="array" ref="L80">_xlfn.IFERROR(VLOOKUP(D80,'Lookups'!$A$2:$C$17,2,FALSE),0)</f>
        <v>0</v>
      </c>
      <c r="M80" s="23" cm="1">
        <f t="array" ref="M80">K80*L80</f>
        <v>0</v>
      </c>
      <c r="N80" s="18"/>
      <c r="O80" s="23"/>
      <c r="P80" s="23" cm="1">
        <f t="array" ref="P80">N80*O80</f>
        <v>0</v>
      </c>
      <c r="Q80" t="s" s="17">
        <v>37</v>
      </c>
      <c r="R80" s="23" cm="1">
        <f t="array" ref="R80">(M80+P80)*(1+VALUE(SUBSTITUTE(Q80,"%",""))/100)</f>
        <v>0</v>
      </c>
      <c r="S80" t="s" s="17">
        <v>31</v>
      </c>
    </row>
    <row r="81" ht="16" customHeight="1">
      <c r="A81" s="15">
        <v>6</v>
      </c>
      <c r="B81" s="18"/>
      <c r="C81" s="28"/>
      <c r="D81" s="18"/>
      <c r="E81" s="18"/>
      <c r="F81" s="18"/>
      <c r="G81" s="25"/>
      <c r="H81" s="4"/>
      <c r="I81" s="29"/>
      <c r="J81" s="30"/>
      <c r="K81" s="18"/>
      <c r="L81" s="23" cm="1">
        <f t="array" ref="L81">_xlfn.IFERROR(VLOOKUP(D81,'Lookups'!$A$2:$C$17,2,FALSE),0)</f>
        <v>0</v>
      </c>
      <c r="M81" s="23" cm="1">
        <f t="array" ref="M81">K81*L81</f>
        <v>0</v>
      </c>
      <c r="N81" s="18"/>
      <c r="O81" s="23"/>
      <c r="P81" s="23" cm="1">
        <f t="array" ref="P81">N81*O81</f>
        <v>0</v>
      </c>
      <c r="Q81" t="s" s="17">
        <v>37</v>
      </c>
      <c r="R81" s="23" cm="1">
        <f t="array" ref="R81">(M81+P81)*(1+VALUE(SUBSTITUTE(Q81,"%",""))/100)</f>
        <v>0</v>
      </c>
      <c r="S81" t="s" s="17">
        <v>31</v>
      </c>
    </row>
    <row r="82" ht="16" customHeight="1">
      <c r="A82" s="15">
        <v>6</v>
      </c>
      <c r="B82" s="18"/>
      <c r="C82" s="28"/>
      <c r="D82" s="18"/>
      <c r="E82" s="18"/>
      <c r="F82" s="18"/>
      <c r="G82" s="25"/>
      <c r="H82" s="4"/>
      <c r="I82" s="29"/>
      <c r="J82" s="30"/>
      <c r="K82" s="18"/>
      <c r="L82" s="23" cm="1">
        <f t="array" ref="L82">_xlfn.IFERROR(VLOOKUP(D82,'Lookups'!$A$2:$C$17,2,FALSE),0)</f>
        <v>0</v>
      </c>
      <c r="M82" s="23" cm="1">
        <f t="array" ref="M82">K82*L82</f>
        <v>0</v>
      </c>
      <c r="N82" s="18"/>
      <c r="O82" s="23"/>
      <c r="P82" s="23" cm="1">
        <f t="array" ref="P82">N82*O82</f>
        <v>0</v>
      </c>
      <c r="Q82" t="s" s="17">
        <v>37</v>
      </c>
      <c r="R82" s="23" cm="1">
        <f t="array" ref="R82">(M82+P82)*(1+VALUE(SUBSTITUTE(Q82,"%",""))/100)</f>
        <v>0</v>
      </c>
      <c r="S82" t="s" s="17">
        <v>31</v>
      </c>
    </row>
    <row r="83" ht="16" customHeight="1">
      <c r="A83" s="15">
        <v>6</v>
      </c>
      <c r="B83" s="18"/>
      <c r="C83" s="28"/>
      <c r="D83" s="18"/>
      <c r="E83" s="18"/>
      <c r="F83" s="18"/>
      <c r="G83" s="31"/>
      <c r="H83" s="9"/>
      <c r="I83" s="32"/>
      <c r="J83" s="33"/>
      <c r="K83" s="18"/>
      <c r="L83" s="23" cm="1">
        <f t="array" ref="L83">_xlfn.IFERROR(VLOOKUP(D83,'Lookups'!$A$2:$C$17,2,FALSE),0)</f>
        <v>0</v>
      </c>
      <c r="M83" s="23" cm="1">
        <f t="array" ref="M83">K83*L83</f>
        <v>0</v>
      </c>
      <c r="N83" s="18"/>
      <c r="O83" s="23"/>
      <c r="P83" s="23" cm="1">
        <f t="array" ref="P83">N83*O83</f>
        <v>0</v>
      </c>
      <c r="Q83" t="s" s="17">
        <v>37</v>
      </c>
      <c r="R83" s="23" cm="1">
        <f t="array" ref="R83">(M83+P83)*(1+VALUE(SUBSTITUTE(Q83,"%",""))/100)</f>
        <v>0</v>
      </c>
      <c r="S83" t="s" s="17">
        <v>31</v>
      </c>
    </row>
    <row r="84" ht="16" customHeight="1">
      <c r="A84" t="s" s="11">
        <v>61</v>
      </c>
      <c r="B84" s="12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4"/>
      <c r="P84" s="12"/>
      <c r="Q84" s="13"/>
      <c r="R84" s="13"/>
      <c r="S84" s="14"/>
    </row>
    <row r="85" ht="16" customHeight="1">
      <c r="A85" s="15">
        <v>7</v>
      </c>
      <c r="B85" t="s" s="16">
        <v>62</v>
      </c>
      <c r="C85" t="s" s="17">
        <v>54</v>
      </c>
      <c r="D85" t="s" s="16">
        <v>27</v>
      </c>
      <c r="E85" s="18"/>
      <c r="F85" s="18"/>
      <c r="G85" s="19"/>
      <c r="H85" s="20"/>
      <c r="I85" t="s" s="21">
        <v>63</v>
      </c>
      <c r="J85" t="s" s="22">
        <v>64</v>
      </c>
      <c r="K85" s="18"/>
      <c r="L85" s="23" cm="1">
        <f t="array" ref="L85">_xlfn.IFERROR(VLOOKUP(D85,'Lookups'!$A$2:$C$17,2,FALSE),0)</f>
        <v>45</v>
      </c>
      <c r="M85" s="23" cm="1">
        <f t="array" ref="M85">K85*L85</f>
        <v>0</v>
      </c>
      <c r="N85" s="18"/>
      <c r="O85" s="23"/>
      <c r="P85" s="23" cm="1">
        <f t="array" ref="P85">N85*O85</f>
        <v>0</v>
      </c>
      <c r="Q85" t="s" s="17">
        <v>37</v>
      </c>
      <c r="R85" s="23">
        <v>98.40000000000001</v>
      </c>
      <c r="S85" t="s" s="17">
        <v>31</v>
      </c>
    </row>
    <row r="86" ht="16" customHeight="1">
      <c r="A86" s="15">
        <v>7</v>
      </c>
      <c r="B86" t="s" s="16">
        <v>53</v>
      </c>
      <c r="C86" t="s" s="17">
        <v>54</v>
      </c>
      <c r="D86" t="s" s="16">
        <v>27</v>
      </c>
      <c r="E86" s="18"/>
      <c r="F86" s="18"/>
      <c r="G86" s="25"/>
      <c r="H86" s="4"/>
      <c r="I86" t="s" s="26">
        <v>63</v>
      </c>
      <c r="J86" t="s" s="27">
        <v>56</v>
      </c>
      <c r="K86" s="18"/>
      <c r="L86" s="23" cm="1">
        <f t="array" ref="L86">_xlfn.IFERROR(VLOOKUP(D86,'Lookups'!$A$2:$C$17,2,FALSE),0)</f>
        <v>45</v>
      </c>
      <c r="M86" s="23" cm="1">
        <f t="array" ref="M86">K86*L86</f>
        <v>0</v>
      </c>
      <c r="N86" s="18"/>
      <c r="O86" s="23"/>
      <c r="P86" s="23" cm="1">
        <f t="array" ref="P86">N86*O86</f>
        <v>0</v>
      </c>
      <c r="Q86" t="s" s="17">
        <v>37</v>
      </c>
      <c r="R86" s="23">
        <v>900</v>
      </c>
      <c r="S86" t="s" s="17">
        <v>31</v>
      </c>
    </row>
    <row r="87" ht="16" customHeight="1">
      <c r="A87" s="15">
        <v>7</v>
      </c>
      <c r="B87" t="s" s="16">
        <v>25</v>
      </c>
      <c r="C87" t="s" s="17">
        <v>26</v>
      </c>
      <c r="D87" t="s" s="16">
        <v>27</v>
      </c>
      <c r="E87" s="18"/>
      <c r="F87" s="18"/>
      <c r="G87" s="25"/>
      <c r="H87" s="4"/>
      <c r="I87" t="s" s="26">
        <v>65</v>
      </c>
      <c r="J87" t="s" s="27">
        <v>30</v>
      </c>
      <c r="K87" s="18"/>
      <c r="L87" s="23" cm="1">
        <f t="array" ref="L87">_xlfn.IFERROR(VLOOKUP(D87,'Lookups'!$A$2:$C$17,2,FALSE),0)</f>
        <v>45</v>
      </c>
      <c r="M87" s="23">
        <v>450</v>
      </c>
      <c r="N87" s="18"/>
      <c r="O87" s="23"/>
      <c r="P87" s="23" cm="1">
        <f t="array" ref="P87">N87*O87</f>
        <v>0</v>
      </c>
      <c r="Q87" s="24">
        <v>0</v>
      </c>
      <c r="R87" s="23" cm="1">
        <f t="array" ref="R87">(M87+P87)*(1+VALUE(SUBSTITUTE(Q87,"%",""))/100)</f>
        <v>450</v>
      </c>
      <c r="S87" t="s" s="17">
        <v>31</v>
      </c>
    </row>
    <row r="88" ht="32" customHeight="1">
      <c r="A88" s="15">
        <v>7</v>
      </c>
      <c r="B88" t="s" s="16">
        <v>66</v>
      </c>
      <c r="C88" t="s" s="17">
        <v>26</v>
      </c>
      <c r="D88" t="s" s="16">
        <v>27</v>
      </c>
      <c r="E88" s="18"/>
      <c r="F88" s="18"/>
      <c r="G88" t="s" s="35">
        <v>67</v>
      </c>
      <c r="H88" s="25"/>
      <c r="I88" t="s" s="26">
        <v>63</v>
      </c>
      <c r="J88" t="s" s="27">
        <v>30</v>
      </c>
      <c r="K88" s="18"/>
      <c r="L88" s="23" cm="1">
        <f t="array" ref="L88">_xlfn.IFERROR(VLOOKUP(D88,'Lookups'!$A$2:$C$17,2,FALSE),0)</f>
        <v>45</v>
      </c>
      <c r="M88" s="23">
        <v>600</v>
      </c>
      <c r="N88" s="18"/>
      <c r="O88" s="23"/>
      <c r="P88" s="23" cm="1">
        <f t="array" ref="P88">N88*O88</f>
        <v>0</v>
      </c>
      <c r="Q88" s="24">
        <v>0</v>
      </c>
      <c r="R88" s="23" cm="1">
        <f t="array" ref="R88">(M88+P88)*(1+VALUE(SUBSTITUTE(Q88,"%",""))/100)</f>
        <v>600</v>
      </c>
      <c r="S88" t="s" s="17">
        <v>31</v>
      </c>
    </row>
    <row r="89" ht="16" customHeight="1">
      <c r="A89" s="15">
        <v>7</v>
      </c>
      <c r="B89" s="18"/>
      <c r="C89" s="28"/>
      <c r="D89" s="18"/>
      <c r="E89" s="18"/>
      <c r="F89" s="18"/>
      <c r="G89" s="25"/>
      <c r="H89" s="4"/>
      <c r="I89" s="29"/>
      <c r="J89" s="30"/>
      <c r="K89" s="18"/>
      <c r="L89" s="23" cm="1">
        <f t="array" ref="L89">_xlfn.IFERROR(VLOOKUP(D89,'Lookups'!$A$2:$C$17,2,FALSE),0)</f>
        <v>0</v>
      </c>
      <c r="M89" s="23" cm="1">
        <f t="array" ref="M89">K89*L89</f>
        <v>0</v>
      </c>
      <c r="N89" s="18"/>
      <c r="O89" s="23"/>
      <c r="P89" s="23" cm="1">
        <f t="array" ref="P89">N89*O89</f>
        <v>0</v>
      </c>
      <c r="Q89" t="s" s="17">
        <v>37</v>
      </c>
      <c r="R89" s="23" cm="1">
        <f t="array" ref="R89">(M89+P89)*(1+VALUE(SUBSTITUTE(Q89,"%",""))/100)</f>
        <v>0</v>
      </c>
      <c r="S89" t="s" s="17">
        <v>31</v>
      </c>
    </row>
    <row r="90" ht="16" customHeight="1">
      <c r="A90" s="15">
        <v>7</v>
      </c>
      <c r="B90" s="18"/>
      <c r="C90" s="28"/>
      <c r="D90" s="18"/>
      <c r="E90" s="18"/>
      <c r="F90" s="18"/>
      <c r="G90" s="25"/>
      <c r="H90" s="4"/>
      <c r="I90" s="29"/>
      <c r="J90" s="30"/>
      <c r="K90" s="18"/>
      <c r="L90" s="23" cm="1">
        <f t="array" ref="L90">_xlfn.IFERROR(VLOOKUP(D90,'Lookups'!$A$2:$C$17,2,FALSE),0)</f>
        <v>0</v>
      </c>
      <c r="M90" s="23" cm="1">
        <f t="array" ref="M90">K90*L90</f>
        <v>0</v>
      </c>
      <c r="N90" s="18"/>
      <c r="O90" s="23"/>
      <c r="P90" s="23" cm="1">
        <f t="array" ref="P90">N90*O90</f>
        <v>0</v>
      </c>
      <c r="Q90" t="s" s="17">
        <v>37</v>
      </c>
      <c r="R90" s="23" cm="1">
        <f t="array" ref="R90">(M90+P90)*(1+VALUE(SUBSTITUTE(Q90,"%",""))/100)</f>
        <v>0</v>
      </c>
      <c r="S90" t="s" s="17">
        <v>31</v>
      </c>
    </row>
    <row r="91" ht="16" customHeight="1">
      <c r="A91" s="15">
        <v>7</v>
      </c>
      <c r="B91" s="18"/>
      <c r="C91" s="28"/>
      <c r="D91" s="18"/>
      <c r="E91" s="18"/>
      <c r="F91" s="18"/>
      <c r="G91" s="25"/>
      <c r="H91" s="4"/>
      <c r="I91" s="29"/>
      <c r="J91" s="30"/>
      <c r="K91" s="18"/>
      <c r="L91" s="23" cm="1">
        <f t="array" ref="L91">_xlfn.IFERROR(VLOOKUP(D91,'Lookups'!$A$2:$C$17,2,FALSE),0)</f>
        <v>0</v>
      </c>
      <c r="M91" s="23" cm="1">
        <f t="array" ref="M91">K91*L91</f>
        <v>0</v>
      </c>
      <c r="N91" s="18"/>
      <c r="O91" s="23"/>
      <c r="P91" s="23" cm="1">
        <f t="array" ref="P91">N91*O91</f>
        <v>0</v>
      </c>
      <c r="Q91" t="s" s="17">
        <v>37</v>
      </c>
      <c r="R91" s="23" cm="1">
        <f t="array" ref="R91">(M91+P91)*(1+VALUE(SUBSTITUTE(Q91,"%",""))/100)</f>
        <v>0</v>
      </c>
      <c r="S91" t="s" s="17">
        <v>31</v>
      </c>
    </row>
    <row r="92" ht="16" customHeight="1">
      <c r="A92" s="15">
        <v>7</v>
      </c>
      <c r="B92" s="18"/>
      <c r="C92" s="28"/>
      <c r="D92" s="18"/>
      <c r="E92" s="18"/>
      <c r="F92" s="18"/>
      <c r="G92" s="25"/>
      <c r="H92" s="4"/>
      <c r="I92" s="29"/>
      <c r="J92" s="30"/>
      <c r="K92" s="18"/>
      <c r="L92" s="23" cm="1">
        <f t="array" ref="L92">_xlfn.IFERROR(VLOOKUP(D92,'Lookups'!$A$2:$C$17,2,FALSE),0)</f>
        <v>0</v>
      </c>
      <c r="M92" s="23" cm="1">
        <f t="array" ref="M92">K92*L92</f>
        <v>0</v>
      </c>
      <c r="N92" s="18"/>
      <c r="O92" s="23"/>
      <c r="P92" s="23" cm="1">
        <f t="array" ref="P92">N92*O92</f>
        <v>0</v>
      </c>
      <c r="Q92" t="s" s="17">
        <v>37</v>
      </c>
      <c r="R92" s="23" cm="1">
        <f t="array" ref="R92">(M92+P92)*(1+VALUE(SUBSTITUTE(Q92,"%",""))/100)</f>
        <v>0</v>
      </c>
      <c r="S92" t="s" s="17">
        <v>31</v>
      </c>
    </row>
    <row r="93" ht="16" customHeight="1">
      <c r="A93" s="15">
        <v>7</v>
      </c>
      <c r="B93" s="18"/>
      <c r="C93" s="28"/>
      <c r="D93" s="18"/>
      <c r="E93" s="18"/>
      <c r="F93" s="18"/>
      <c r="G93" s="25"/>
      <c r="H93" s="4"/>
      <c r="I93" s="29"/>
      <c r="J93" s="30"/>
      <c r="K93" s="18"/>
      <c r="L93" s="23" cm="1">
        <f t="array" ref="L93">_xlfn.IFERROR(VLOOKUP(D93,'Lookups'!$A$2:$C$17,2,FALSE),0)</f>
        <v>0</v>
      </c>
      <c r="M93" s="23" cm="1">
        <f t="array" ref="M93">K93*L93</f>
        <v>0</v>
      </c>
      <c r="N93" s="18"/>
      <c r="O93" s="23"/>
      <c r="P93" s="23" cm="1">
        <f t="array" ref="P93">N93*O93</f>
        <v>0</v>
      </c>
      <c r="Q93" t="s" s="17">
        <v>37</v>
      </c>
      <c r="R93" s="23" cm="1">
        <f t="array" ref="R93">(M93+P93)*(1+VALUE(SUBSTITUTE(Q93,"%",""))/100)</f>
        <v>0</v>
      </c>
      <c r="S93" t="s" s="17">
        <v>31</v>
      </c>
    </row>
    <row r="94" ht="16" customHeight="1">
      <c r="A94" s="15">
        <v>7</v>
      </c>
      <c r="B94" s="18"/>
      <c r="C94" s="28"/>
      <c r="D94" s="18"/>
      <c r="E94" s="18"/>
      <c r="F94" s="18"/>
      <c r="G94" s="25"/>
      <c r="H94" s="4"/>
      <c r="I94" s="29"/>
      <c r="J94" s="30"/>
      <c r="K94" s="18"/>
      <c r="L94" s="23" cm="1">
        <f t="array" ref="L94">_xlfn.IFERROR(VLOOKUP(D94,'Lookups'!$A$2:$C$17,2,FALSE),0)</f>
        <v>0</v>
      </c>
      <c r="M94" s="23" cm="1">
        <f t="array" ref="M94">K94*L94</f>
        <v>0</v>
      </c>
      <c r="N94" s="18"/>
      <c r="O94" s="23"/>
      <c r="P94" s="23" cm="1">
        <f t="array" ref="P94">N94*O94</f>
        <v>0</v>
      </c>
      <c r="Q94" t="s" s="17">
        <v>37</v>
      </c>
      <c r="R94" s="23" cm="1">
        <f t="array" ref="R94">(M94+P94)*(1+VALUE(SUBSTITUTE(Q94,"%",""))/100)</f>
        <v>0</v>
      </c>
      <c r="S94" t="s" s="17">
        <v>31</v>
      </c>
    </row>
    <row r="95" ht="16" customHeight="1">
      <c r="A95" s="15">
        <v>7</v>
      </c>
      <c r="B95" s="18"/>
      <c r="C95" s="28"/>
      <c r="D95" s="18"/>
      <c r="E95" s="18"/>
      <c r="F95" s="18"/>
      <c r="G95" s="25"/>
      <c r="H95" s="4"/>
      <c r="I95" s="29"/>
      <c r="J95" s="30"/>
      <c r="K95" s="18"/>
      <c r="L95" s="23" cm="1">
        <f t="array" ref="L95">_xlfn.IFERROR(VLOOKUP(D95,'Lookups'!$A$2:$C$17,2,FALSE),0)</f>
        <v>0</v>
      </c>
      <c r="M95" s="23" cm="1">
        <f t="array" ref="M95">K95*L95</f>
        <v>0</v>
      </c>
      <c r="N95" s="18"/>
      <c r="O95" s="23"/>
      <c r="P95" s="23" cm="1">
        <f t="array" ref="P95">N95*O95</f>
        <v>0</v>
      </c>
      <c r="Q95" t="s" s="17">
        <v>37</v>
      </c>
      <c r="R95" s="23" cm="1">
        <f t="array" ref="R95">(M95+P95)*(1+VALUE(SUBSTITUTE(Q95,"%",""))/100)</f>
        <v>0</v>
      </c>
      <c r="S95" t="s" s="17">
        <v>31</v>
      </c>
    </row>
    <row r="96" ht="16" customHeight="1">
      <c r="A96" s="15">
        <v>7</v>
      </c>
      <c r="B96" s="18"/>
      <c r="C96" s="28"/>
      <c r="D96" s="18"/>
      <c r="E96" s="18"/>
      <c r="F96" s="18"/>
      <c r="G96" s="31"/>
      <c r="H96" s="9"/>
      <c r="I96" s="32"/>
      <c r="J96" s="33"/>
      <c r="K96" s="18"/>
      <c r="L96" s="23" cm="1">
        <f t="array" ref="L96">_xlfn.IFERROR(VLOOKUP(D96,'Lookups'!$A$2:$C$17,2,FALSE),0)</f>
        <v>0</v>
      </c>
      <c r="M96" s="23" cm="1">
        <f t="array" ref="M96">K96*L96</f>
        <v>0</v>
      </c>
      <c r="N96" s="18"/>
      <c r="O96" s="23"/>
      <c r="P96" s="23" cm="1">
        <f t="array" ref="P96">N96*O96</f>
        <v>0</v>
      </c>
      <c r="Q96" t="s" s="17">
        <v>37</v>
      </c>
      <c r="R96" s="23" cm="1">
        <f t="array" ref="R96">(M96+P96)*(1+VALUE(SUBSTITUTE(Q96,"%",""))/100)</f>
        <v>0</v>
      </c>
      <c r="S96" t="s" s="17">
        <v>31</v>
      </c>
    </row>
    <row r="97" ht="16" customHeight="1">
      <c r="A97" t="s" s="11">
        <v>68</v>
      </c>
      <c r="B97" s="12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4"/>
      <c r="P97" s="12"/>
      <c r="Q97" s="13"/>
      <c r="R97" s="13"/>
      <c r="S97" s="14"/>
    </row>
    <row r="98" ht="32" customHeight="1">
      <c r="A98" s="15">
        <v>8</v>
      </c>
      <c r="B98" t="s" s="16">
        <v>69</v>
      </c>
      <c r="C98" t="s" s="17">
        <v>26</v>
      </c>
      <c r="D98" t="s" s="16">
        <v>27</v>
      </c>
      <c r="E98" s="18"/>
      <c r="F98" s="18"/>
      <c r="G98" t="s" s="34">
        <v>70</v>
      </c>
      <c r="H98" s="19"/>
      <c r="I98" s="36"/>
      <c r="J98" s="37"/>
      <c r="K98" s="18"/>
      <c r="L98" s="23" cm="1">
        <f t="array" ref="L98">_xlfn.IFERROR(VLOOKUP(D98,'Lookups'!$A$2:$C$17,2,FALSE),0)</f>
        <v>45</v>
      </c>
      <c r="M98" s="23">
        <v>1400</v>
      </c>
      <c r="N98" s="18"/>
      <c r="O98" s="23"/>
      <c r="P98" s="23" cm="1">
        <f t="array" ref="P98">N98*O98</f>
        <v>0</v>
      </c>
      <c r="Q98" s="24">
        <v>0</v>
      </c>
      <c r="R98" s="23" cm="1">
        <f t="array" ref="R98">(M98+P98)*(1+VALUE(SUBSTITUTE(Q98,"%",""))/100)</f>
        <v>1400</v>
      </c>
      <c r="S98" t="s" s="17">
        <v>31</v>
      </c>
    </row>
    <row r="99" ht="16" customHeight="1">
      <c r="A99" s="15">
        <v>8</v>
      </c>
      <c r="B99" t="s" s="16">
        <v>25</v>
      </c>
      <c r="C99" t="s" s="17">
        <v>26</v>
      </c>
      <c r="D99" t="s" s="16">
        <v>27</v>
      </c>
      <c r="E99" s="18"/>
      <c r="F99" s="18"/>
      <c r="G99" s="25"/>
      <c r="H99" s="4"/>
      <c r="I99" s="29"/>
      <c r="J99" s="30"/>
      <c r="K99" s="18"/>
      <c r="L99" s="23" cm="1">
        <f t="array" ref="L99">_xlfn.IFERROR(VLOOKUP(D99,'Lookups'!$A$2:$C$17,2,FALSE),0)</f>
        <v>45</v>
      </c>
      <c r="M99" s="23">
        <v>750</v>
      </c>
      <c r="N99" s="18"/>
      <c r="O99" s="23"/>
      <c r="P99" s="23" cm="1">
        <f t="array" ref="P99">N99*O99</f>
        <v>0</v>
      </c>
      <c r="Q99" s="24">
        <v>0</v>
      </c>
      <c r="R99" s="23" cm="1">
        <f t="array" ref="R99">(M99+P99)*(1+VALUE(SUBSTITUTE(Q99,"%",""))/100)</f>
        <v>750</v>
      </c>
      <c r="S99" t="s" s="17">
        <v>31</v>
      </c>
    </row>
    <row r="100" ht="16" customHeight="1">
      <c r="A100" s="15">
        <v>8</v>
      </c>
      <c r="B100" t="s" s="16">
        <v>71</v>
      </c>
      <c r="C100" t="s" s="17">
        <v>26</v>
      </c>
      <c r="D100" t="s" s="16">
        <v>27</v>
      </c>
      <c r="E100" s="18"/>
      <c r="F100" s="18"/>
      <c r="G100" t="s" s="35">
        <v>72</v>
      </c>
      <c r="H100" s="25"/>
      <c r="I100" s="29"/>
      <c r="J100" s="30"/>
      <c r="K100" s="18"/>
      <c r="L100" s="23" cm="1">
        <f t="array" ref="L100">_xlfn.IFERROR(VLOOKUP(D100,'Lookups'!$A$2:$C$17,2,FALSE),0)</f>
        <v>45</v>
      </c>
      <c r="M100" s="23">
        <v>275</v>
      </c>
      <c r="N100" s="18"/>
      <c r="O100" s="23"/>
      <c r="P100" s="23" cm="1">
        <f t="array" ref="P100">N100*O100</f>
        <v>0</v>
      </c>
      <c r="Q100" s="24">
        <v>0</v>
      </c>
      <c r="R100" s="23" cm="1">
        <f t="array" ref="R100">(M100+P100)*(1+VALUE(SUBSTITUTE(Q100,"%",""))/100)</f>
        <v>275</v>
      </c>
      <c r="S100" t="s" s="17">
        <v>31</v>
      </c>
    </row>
    <row r="101" ht="16" customHeight="1">
      <c r="A101" s="15">
        <v>8</v>
      </c>
      <c r="B101" s="18"/>
      <c r="C101" s="28"/>
      <c r="D101" s="18"/>
      <c r="E101" s="18"/>
      <c r="F101" s="18"/>
      <c r="G101" s="25"/>
      <c r="H101" s="4"/>
      <c r="I101" s="29"/>
      <c r="J101" s="30"/>
      <c r="K101" s="18"/>
      <c r="L101" s="23" cm="1">
        <f t="array" ref="L101">_xlfn.IFERROR(VLOOKUP(D101,'Lookups'!$A$2:$C$17,2,FALSE),0)</f>
        <v>0</v>
      </c>
      <c r="M101" s="23" cm="1">
        <f t="array" ref="M101">K101*L101</f>
        <v>0</v>
      </c>
      <c r="N101" s="18"/>
      <c r="O101" s="23"/>
      <c r="P101" s="23" cm="1">
        <f t="array" ref="P101">N101*O101</f>
        <v>0</v>
      </c>
      <c r="Q101" t="s" s="17">
        <v>37</v>
      </c>
      <c r="R101" s="23" cm="1">
        <f t="array" ref="R101">(M101+P101)*(1+VALUE(SUBSTITUTE(Q101,"%",""))/100)</f>
        <v>0</v>
      </c>
      <c r="S101" t="s" s="17">
        <v>31</v>
      </c>
    </row>
    <row r="102" ht="16" customHeight="1">
      <c r="A102" s="15">
        <v>8</v>
      </c>
      <c r="B102" s="18"/>
      <c r="C102" s="28"/>
      <c r="D102" s="18"/>
      <c r="E102" s="18"/>
      <c r="F102" s="18"/>
      <c r="G102" s="25"/>
      <c r="H102" s="4"/>
      <c r="I102" s="29"/>
      <c r="J102" s="30"/>
      <c r="K102" s="18"/>
      <c r="L102" s="23" cm="1">
        <f t="array" ref="L102">_xlfn.IFERROR(VLOOKUP(D102,'Lookups'!$A$2:$C$17,2,FALSE),0)</f>
        <v>0</v>
      </c>
      <c r="M102" s="23" cm="1">
        <f t="array" ref="M102">K102*L102</f>
        <v>0</v>
      </c>
      <c r="N102" s="18"/>
      <c r="O102" s="23"/>
      <c r="P102" s="23" cm="1">
        <f t="array" ref="P102">N102*O102</f>
        <v>0</v>
      </c>
      <c r="Q102" t="s" s="17">
        <v>37</v>
      </c>
      <c r="R102" s="23" cm="1">
        <f t="array" ref="R102">(M102+P102)*(1+VALUE(SUBSTITUTE(Q102,"%",""))/100)</f>
        <v>0</v>
      </c>
      <c r="S102" t="s" s="17">
        <v>31</v>
      </c>
    </row>
    <row r="103" ht="16" customHeight="1">
      <c r="A103" s="15">
        <v>8</v>
      </c>
      <c r="B103" s="18"/>
      <c r="C103" s="28"/>
      <c r="D103" s="18"/>
      <c r="E103" s="18"/>
      <c r="F103" s="18"/>
      <c r="G103" s="25"/>
      <c r="H103" s="4"/>
      <c r="I103" s="29"/>
      <c r="J103" s="30"/>
      <c r="K103" s="18"/>
      <c r="L103" s="23" cm="1">
        <f t="array" ref="L103">_xlfn.IFERROR(VLOOKUP(D103,'Lookups'!$A$2:$C$17,2,FALSE),0)</f>
        <v>0</v>
      </c>
      <c r="M103" s="23" cm="1">
        <f t="array" ref="M103">K103*L103</f>
        <v>0</v>
      </c>
      <c r="N103" s="18"/>
      <c r="O103" s="23"/>
      <c r="P103" s="23" cm="1">
        <f t="array" ref="P103">N103*O103</f>
        <v>0</v>
      </c>
      <c r="Q103" t="s" s="17">
        <v>44</v>
      </c>
      <c r="R103" s="23" cm="1">
        <f t="array" ref="R103">(M103+P103)*(1+VALUE(SUBSTITUTE(Q103,"%",""))/100)</f>
        <v>0</v>
      </c>
      <c r="S103" t="s" s="17">
        <v>31</v>
      </c>
    </row>
    <row r="104" ht="16" customHeight="1">
      <c r="A104" s="15">
        <v>8</v>
      </c>
      <c r="B104" s="18"/>
      <c r="C104" s="28"/>
      <c r="D104" s="18"/>
      <c r="E104" s="18"/>
      <c r="F104" s="18"/>
      <c r="G104" s="25"/>
      <c r="H104" s="4"/>
      <c r="I104" s="29"/>
      <c r="J104" s="30"/>
      <c r="K104" s="18"/>
      <c r="L104" s="23" cm="1">
        <f t="array" ref="L104">_xlfn.IFERROR(VLOOKUP(D104,'Lookups'!$A$2:$C$17,2,FALSE),0)</f>
        <v>0</v>
      </c>
      <c r="M104" s="23" cm="1">
        <f t="array" ref="M104">K104*L104</f>
        <v>0</v>
      </c>
      <c r="N104" s="18"/>
      <c r="O104" s="23"/>
      <c r="P104" s="23" cm="1">
        <f t="array" ref="P104">N104*O104</f>
        <v>0</v>
      </c>
      <c r="Q104" t="s" s="17">
        <v>37</v>
      </c>
      <c r="R104" s="23" cm="1">
        <f t="array" ref="R104">(M104+P104)*(1+VALUE(SUBSTITUTE(Q104,"%",""))/100)</f>
        <v>0</v>
      </c>
      <c r="S104" t="s" s="17">
        <v>31</v>
      </c>
    </row>
    <row r="105" ht="16" customHeight="1">
      <c r="A105" s="15">
        <v>8</v>
      </c>
      <c r="B105" s="18"/>
      <c r="C105" s="28"/>
      <c r="D105" s="18"/>
      <c r="E105" s="18"/>
      <c r="F105" s="18"/>
      <c r="G105" s="25"/>
      <c r="H105" s="4"/>
      <c r="I105" s="29"/>
      <c r="J105" s="30"/>
      <c r="K105" s="18"/>
      <c r="L105" s="23" cm="1">
        <f t="array" ref="L105">_xlfn.IFERROR(VLOOKUP(D105,'Lookups'!$A$2:$C$17,2,FALSE),0)</f>
        <v>0</v>
      </c>
      <c r="M105" s="23" cm="1">
        <f t="array" ref="M105">K105*L105</f>
        <v>0</v>
      </c>
      <c r="N105" s="18"/>
      <c r="O105" s="23"/>
      <c r="P105" s="23" cm="1">
        <f t="array" ref="P105">N105*O105</f>
        <v>0</v>
      </c>
      <c r="Q105" t="s" s="17">
        <v>37</v>
      </c>
      <c r="R105" s="23" cm="1">
        <f t="array" ref="R105">(M105+P105)*(1+VALUE(SUBSTITUTE(Q105,"%",""))/100)</f>
        <v>0</v>
      </c>
      <c r="S105" t="s" s="17">
        <v>31</v>
      </c>
    </row>
    <row r="106" ht="16" customHeight="1">
      <c r="A106" s="15">
        <v>8</v>
      </c>
      <c r="B106" s="18"/>
      <c r="C106" s="28"/>
      <c r="D106" s="18"/>
      <c r="E106" s="18"/>
      <c r="F106" s="18"/>
      <c r="G106" s="25"/>
      <c r="H106" s="4"/>
      <c r="I106" s="29"/>
      <c r="J106" s="30"/>
      <c r="K106" s="18"/>
      <c r="L106" s="23" cm="1">
        <f t="array" ref="L106">_xlfn.IFERROR(VLOOKUP(D106,'Lookups'!$A$2:$C$17,2,FALSE),0)</f>
        <v>0</v>
      </c>
      <c r="M106" s="23" cm="1">
        <f t="array" ref="M106">K106*L106</f>
        <v>0</v>
      </c>
      <c r="N106" s="18"/>
      <c r="O106" s="23"/>
      <c r="P106" s="23" cm="1">
        <f t="array" ref="P106">N106*O106</f>
        <v>0</v>
      </c>
      <c r="Q106" t="s" s="17">
        <v>37</v>
      </c>
      <c r="R106" s="23" cm="1">
        <f t="array" ref="R106">(M106+P106)*(1+VALUE(SUBSTITUTE(Q106,"%",""))/100)</f>
        <v>0</v>
      </c>
      <c r="S106" t="s" s="17">
        <v>31</v>
      </c>
    </row>
    <row r="107" ht="16" customHeight="1">
      <c r="A107" s="15">
        <v>8</v>
      </c>
      <c r="B107" s="18"/>
      <c r="C107" s="28"/>
      <c r="D107" s="18"/>
      <c r="E107" s="18"/>
      <c r="F107" s="18"/>
      <c r="G107" s="25"/>
      <c r="H107" s="4"/>
      <c r="I107" s="29"/>
      <c r="J107" s="30"/>
      <c r="K107" s="18"/>
      <c r="L107" s="23" cm="1">
        <f t="array" ref="L107">_xlfn.IFERROR(VLOOKUP(D107,'Lookups'!$A$2:$C$17,2,FALSE),0)</f>
        <v>0</v>
      </c>
      <c r="M107" s="23" cm="1">
        <f t="array" ref="M107">K107*L107</f>
        <v>0</v>
      </c>
      <c r="N107" s="18"/>
      <c r="O107" s="23"/>
      <c r="P107" s="23" cm="1">
        <f t="array" ref="P107">N107*O107</f>
        <v>0</v>
      </c>
      <c r="Q107" t="s" s="17">
        <v>37</v>
      </c>
      <c r="R107" s="23" cm="1">
        <f t="array" ref="R107">(M107+P107)*(1+VALUE(SUBSTITUTE(Q107,"%",""))/100)</f>
        <v>0</v>
      </c>
      <c r="S107" t="s" s="17">
        <v>31</v>
      </c>
    </row>
    <row r="108" ht="16" customHeight="1">
      <c r="A108" s="15">
        <v>8</v>
      </c>
      <c r="B108" s="18"/>
      <c r="C108" s="28"/>
      <c r="D108" s="18"/>
      <c r="E108" s="18"/>
      <c r="F108" s="18"/>
      <c r="G108" s="25"/>
      <c r="H108" s="4"/>
      <c r="I108" s="29"/>
      <c r="J108" s="30"/>
      <c r="K108" s="18"/>
      <c r="L108" s="23" cm="1">
        <f t="array" ref="L108">_xlfn.IFERROR(VLOOKUP(D108,'Lookups'!$A$2:$C$17,2,FALSE),0)</f>
        <v>0</v>
      </c>
      <c r="M108" s="23" cm="1">
        <f t="array" ref="M108">K108*L108</f>
        <v>0</v>
      </c>
      <c r="N108" s="18"/>
      <c r="O108" s="23"/>
      <c r="P108" s="23" cm="1">
        <f t="array" ref="P108">N108*O108</f>
        <v>0</v>
      </c>
      <c r="Q108" t="s" s="17">
        <v>37</v>
      </c>
      <c r="R108" s="23" cm="1">
        <f t="array" ref="R108">(M108+P108)*(1+VALUE(SUBSTITUTE(Q108,"%",""))/100)</f>
        <v>0</v>
      </c>
      <c r="S108" t="s" s="17">
        <v>31</v>
      </c>
    </row>
    <row r="109" ht="16" customHeight="1">
      <c r="A109" s="15">
        <v>8</v>
      </c>
      <c r="B109" s="18"/>
      <c r="C109" s="28"/>
      <c r="D109" s="18"/>
      <c r="E109" s="18"/>
      <c r="F109" s="18"/>
      <c r="G109" s="31"/>
      <c r="H109" s="9"/>
      <c r="I109" s="32"/>
      <c r="J109" s="33"/>
      <c r="K109" s="18"/>
      <c r="L109" s="23" cm="1">
        <f t="array" ref="L109">_xlfn.IFERROR(VLOOKUP(D109,'Lookups'!$A$2:$C$17,2,FALSE),0)</f>
        <v>0</v>
      </c>
      <c r="M109" s="23" cm="1">
        <f t="array" ref="M109">K109*L109</f>
        <v>0</v>
      </c>
      <c r="N109" s="18"/>
      <c r="O109" s="23"/>
      <c r="P109" s="23" cm="1">
        <f t="array" ref="P109">N109*O109</f>
        <v>0</v>
      </c>
      <c r="Q109" t="s" s="17">
        <v>37</v>
      </c>
      <c r="R109" s="23" cm="1">
        <f t="array" ref="R109">(M109+P109)*(1+VALUE(SUBSTITUTE(Q109,"%",""))/100)</f>
        <v>0</v>
      </c>
      <c r="S109" t="s" s="17">
        <v>31</v>
      </c>
    </row>
    <row r="110" ht="16" customHeight="1">
      <c r="A110" t="s" s="11">
        <v>73</v>
      </c>
      <c r="B110" s="12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4"/>
      <c r="P110" s="12"/>
      <c r="Q110" s="13"/>
      <c r="R110" s="13"/>
      <c r="S110" s="14"/>
    </row>
    <row r="111" ht="32" customHeight="1">
      <c r="A111" s="15">
        <v>9</v>
      </c>
      <c r="B111" t="s" s="16">
        <v>71</v>
      </c>
      <c r="C111" t="s" s="17">
        <v>26</v>
      </c>
      <c r="D111" t="s" s="16">
        <v>27</v>
      </c>
      <c r="E111" s="18"/>
      <c r="F111" s="18"/>
      <c r="G111" t="s" s="34">
        <v>74</v>
      </c>
      <c r="H111" s="19"/>
      <c r="I111" s="36"/>
      <c r="J111" s="37"/>
      <c r="K111" s="18"/>
      <c r="L111" s="23" cm="1">
        <f t="array" ref="L111">_xlfn.IFERROR(VLOOKUP(D111,'Lookups'!$A$2:$C$17,2,FALSE),0)</f>
        <v>45</v>
      </c>
      <c r="M111" s="23">
        <v>1935</v>
      </c>
      <c r="N111" s="18"/>
      <c r="O111" s="23"/>
      <c r="P111" s="23" cm="1">
        <f t="array" ref="P111">N111*O111</f>
        <v>0</v>
      </c>
      <c r="Q111" s="24">
        <v>0</v>
      </c>
      <c r="R111" s="23" cm="1">
        <f t="array" ref="R111">(M111+P111)*(1+VALUE(SUBSTITUTE(Q111,"%",""))/100)</f>
        <v>1935</v>
      </c>
      <c r="S111" t="s" s="17">
        <v>31</v>
      </c>
    </row>
    <row r="112" ht="16" customHeight="1">
      <c r="A112" s="15">
        <v>9</v>
      </c>
      <c r="B112" t="s" s="16">
        <v>59</v>
      </c>
      <c r="C112" t="s" s="17">
        <v>26</v>
      </c>
      <c r="D112" t="s" s="16">
        <v>27</v>
      </c>
      <c r="E112" s="18"/>
      <c r="F112" s="18"/>
      <c r="G112" t="s" s="35">
        <v>75</v>
      </c>
      <c r="H112" s="25"/>
      <c r="I112" s="29"/>
      <c r="J112" s="30"/>
      <c r="K112" s="18"/>
      <c r="L112" s="23" cm="1">
        <f t="array" ref="L112">_xlfn.IFERROR(VLOOKUP(D112,'Lookups'!$A$2:$C$17,2,FALSE),0)</f>
        <v>45</v>
      </c>
      <c r="M112" s="23">
        <v>2035</v>
      </c>
      <c r="N112" s="18"/>
      <c r="O112" s="23"/>
      <c r="P112" s="23" cm="1">
        <f t="array" ref="P112">N112*O112</f>
        <v>0</v>
      </c>
      <c r="Q112" s="24">
        <v>0</v>
      </c>
      <c r="R112" s="23" cm="1">
        <f t="array" ref="R112">(M112+P112)*(1+VALUE(SUBSTITUTE(Q112,"%",""))/100)</f>
        <v>2035</v>
      </c>
      <c r="S112" t="s" s="17">
        <v>31</v>
      </c>
    </row>
    <row r="113" ht="32" customHeight="1">
      <c r="A113" s="15">
        <v>9</v>
      </c>
      <c r="B113" t="s" s="16">
        <v>25</v>
      </c>
      <c r="C113" t="s" s="17">
        <v>26</v>
      </c>
      <c r="D113" t="s" s="16">
        <v>27</v>
      </c>
      <c r="E113" s="18"/>
      <c r="F113" s="18"/>
      <c r="G113" t="s" s="35">
        <v>76</v>
      </c>
      <c r="H113" s="25"/>
      <c r="I113" s="29"/>
      <c r="J113" s="30"/>
      <c r="K113" s="18"/>
      <c r="L113" s="23" cm="1">
        <f t="array" ref="L113">_xlfn.IFERROR(VLOOKUP(D113,'Lookups'!$A$2:$C$17,2,FALSE),0)</f>
        <v>45</v>
      </c>
      <c r="M113" s="23">
        <v>900</v>
      </c>
      <c r="N113" s="18"/>
      <c r="O113" s="23"/>
      <c r="P113" s="23" cm="1">
        <f t="array" ref="P113">N113*O113</f>
        <v>0</v>
      </c>
      <c r="Q113" s="24">
        <v>0</v>
      </c>
      <c r="R113" s="23" cm="1">
        <f t="array" ref="R113">(M113+P113)*(1+VALUE(SUBSTITUTE(Q113,"%",""))/100)</f>
        <v>900</v>
      </c>
      <c r="S113" t="s" s="17">
        <v>31</v>
      </c>
    </row>
    <row r="114" ht="32" customHeight="1">
      <c r="A114" s="15">
        <v>9</v>
      </c>
      <c r="B114" t="s" s="16">
        <v>77</v>
      </c>
      <c r="C114" t="s" s="17">
        <v>26</v>
      </c>
      <c r="D114" t="s" s="16">
        <v>35</v>
      </c>
      <c r="E114" s="18"/>
      <c r="F114" s="18"/>
      <c r="G114" t="s" s="38">
        <v>78</v>
      </c>
      <c r="H114" s="4"/>
      <c r="I114" s="29"/>
      <c r="J114" s="30"/>
      <c r="K114" s="18"/>
      <c r="L114" s="23" cm="1">
        <f t="array" ref="L114">_xlfn.IFERROR(VLOOKUP(D114,'Lookups'!$A$2:$C$17,2,FALSE),0)</f>
        <v>0</v>
      </c>
      <c r="M114" s="23">
        <v>1240</v>
      </c>
      <c r="N114" s="18"/>
      <c r="O114" s="23"/>
      <c r="P114" s="23" cm="1">
        <f t="array" ref="P114">N114*O114</f>
        <v>0</v>
      </c>
      <c r="Q114" s="24">
        <v>0</v>
      </c>
      <c r="R114" s="23" cm="1">
        <f t="array" ref="R114">(M114+P114)*(1+VALUE(SUBSTITUTE(Q114,"%",""))/100)</f>
        <v>1240</v>
      </c>
      <c r="S114" t="s" s="17">
        <v>31</v>
      </c>
    </row>
    <row r="115" ht="16" customHeight="1">
      <c r="A115" s="15">
        <v>9</v>
      </c>
      <c r="B115" s="18"/>
      <c r="C115" s="28"/>
      <c r="D115" s="18"/>
      <c r="E115" s="18"/>
      <c r="F115" s="18"/>
      <c r="G115" s="25"/>
      <c r="H115" s="4"/>
      <c r="I115" s="29"/>
      <c r="J115" s="30"/>
      <c r="K115" s="18"/>
      <c r="L115" s="23" cm="1">
        <f t="array" ref="L115">_xlfn.IFERROR(VLOOKUP(D115,'Lookups'!$A$2:$C$17,2,FALSE),0)</f>
        <v>0</v>
      </c>
      <c r="M115" s="23" cm="1">
        <f t="array" ref="M115">K115*L115</f>
        <v>0</v>
      </c>
      <c r="N115" s="18"/>
      <c r="O115" s="23"/>
      <c r="P115" s="23" cm="1">
        <f t="array" ref="P115">N115*O115</f>
        <v>0</v>
      </c>
      <c r="Q115" t="s" s="17">
        <v>37</v>
      </c>
      <c r="R115" s="23" cm="1">
        <f t="array" ref="R115">(M115+P115)*(1+VALUE(SUBSTITUTE(Q115,"%",""))/100)</f>
        <v>0</v>
      </c>
      <c r="S115" t="s" s="17">
        <v>31</v>
      </c>
    </row>
    <row r="116" ht="16" customHeight="1">
      <c r="A116" s="15">
        <v>9</v>
      </c>
      <c r="B116" s="18"/>
      <c r="C116" s="28"/>
      <c r="D116" s="18"/>
      <c r="E116" s="18"/>
      <c r="F116" s="18"/>
      <c r="G116" s="25"/>
      <c r="H116" s="4"/>
      <c r="I116" s="29"/>
      <c r="J116" s="30"/>
      <c r="K116" s="18"/>
      <c r="L116" s="23" cm="1">
        <f t="array" ref="L116">_xlfn.IFERROR(VLOOKUP(D116,'Lookups'!$A$2:$C$17,2,FALSE),0)</f>
        <v>0</v>
      </c>
      <c r="M116" s="23" cm="1">
        <f t="array" ref="M116">K116*L116</f>
        <v>0</v>
      </c>
      <c r="N116" s="18"/>
      <c r="O116" s="23"/>
      <c r="P116" s="23" cm="1">
        <f t="array" ref="P116">N116*O116</f>
        <v>0</v>
      </c>
      <c r="Q116" t="s" s="17">
        <v>37</v>
      </c>
      <c r="R116" s="23" cm="1">
        <f t="array" ref="R116">(M116+P116)*(1+VALUE(SUBSTITUTE(Q116,"%",""))/100)</f>
        <v>0</v>
      </c>
      <c r="S116" t="s" s="17">
        <v>31</v>
      </c>
    </row>
    <row r="117" ht="16" customHeight="1">
      <c r="A117" s="15">
        <v>9</v>
      </c>
      <c r="B117" s="18"/>
      <c r="C117" s="28"/>
      <c r="D117" s="18"/>
      <c r="E117" s="18"/>
      <c r="F117" s="18"/>
      <c r="G117" s="25"/>
      <c r="H117" s="4"/>
      <c r="I117" s="29"/>
      <c r="J117" s="30"/>
      <c r="K117" s="18"/>
      <c r="L117" s="23" cm="1">
        <f t="array" ref="L117">_xlfn.IFERROR(VLOOKUP(D117,'Lookups'!$A$2:$C$17,2,FALSE),0)</f>
        <v>0</v>
      </c>
      <c r="M117" s="23" cm="1">
        <f t="array" ref="M117">K117*L117</f>
        <v>0</v>
      </c>
      <c r="N117" s="18"/>
      <c r="O117" s="23"/>
      <c r="P117" s="23" cm="1">
        <f t="array" ref="P117">N117*O117</f>
        <v>0</v>
      </c>
      <c r="Q117" t="s" s="17">
        <v>37</v>
      </c>
      <c r="R117" s="23" cm="1">
        <f t="array" ref="R117">(M117+P117)*(1+VALUE(SUBSTITUTE(Q117,"%",""))/100)</f>
        <v>0</v>
      </c>
      <c r="S117" t="s" s="17">
        <v>31</v>
      </c>
    </row>
    <row r="118" ht="16" customHeight="1">
      <c r="A118" s="15">
        <v>9</v>
      </c>
      <c r="B118" s="18"/>
      <c r="C118" s="28"/>
      <c r="D118" s="18"/>
      <c r="E118" s="18"/>
      <c r="F118" s="18"/>
      <c r="G118" s="25"/>
      <c r="H118" s="4"/>
      <c r="I118" s="29"/>
      <c r="J118" s="30"/>
      <c r="K118" s="18"/>
      <c r="L118" s="23" cm="1">
        <f t="array" ref="L118">_xlfn.IFERROR(VLOOKUP(D118,'Lookups'!$A$2:$C$17,2,FALSE),0)</f>
        <v>0</v>
      </c>
      <c r="M118" s="23" cm="1">
        <f t="array" ref="M118">K118*L118</f>
        <v>0</v>
      </c>
      <c r="N118" s="18"/>
      <c r="O118" s="23"/>
      <c r="P118" s="23" cm="1">
        <f t="array" ref="P118">N118*O118</f>
        <v>0</v>
      </c>
      <c r="Q118" t="s" s="17">
        <v>37</v>
      </c>
      <c r="R118" s="23" cm="1">
        <f t="array" ref="R118">(M118+P118)*(1+VALUE(SUBSTITUTE(Q118,"%",""))/100)</f>
        <v>0</v>
      </c>
      <c r="S118" t="s" s="17">
        <v>31</v>
      </c>
    </row>
    <row r="119" ht="16" customHeight="1">
      <c r="A119" s="15">
        <v>9</v>
      </c>
      <c r="B119" s="18"/>
      <c r="C119" s="28"/>
      <c r="D119" s="18"/>
      <c r="E119" s="18"/>
      <c r="F119" s="18"/>
      <c r="G119" s="25"/>
      <c r="H119" s="4"/>
      <c r="I119" s="29"/>
      <c r="J119" s="30"/>
      <c r="K119" s="18"/>
      <c r="L119" s="23" cm="1">
        <f t="array" ref="L119">_xlfn.IFERROR(VLOOKUP(D119,'Lookups'!$A$2:$C$17,2,FALSE),0)</f>
        <v>0</v>
      </c>
      <c r="M119" s="23" cm="1">
        <f t="array" ref="M119">K119*L119</f>
        <v>0</v>
      </c>
      <c r="N119" s="18"/>
      <c r="O119" s="23"/>
      <c r="P119" s="23" cm="1">
        <f t="array" ref="P119">N119*O119</f>
        <v>0</v>
      </c>
      <c r="Q119" t="s" s="17">
        <v>37</v>
      </c>
      <c r="R119" s="23" cm="1">
        <f t="array" ref="R119">(M119+P119)*(1+VALUE(SUBSTITUTE(Q119,"%",""))/100)</f>
        <v>0</v>
      </c>
      <c r="S119" t="s" s="17">
        <v>31</v>
      </c>
    </row>
    <row r="120" ht="16" customHeight="1">
      <c r="A120" s="15">
        <v>9</v>
      </c>
      <c r="B120" s="18"/>
      <c r="C120" s="28"/>
      <c r="D120" s="18"/>
      <c r="E120" s="18"/>
      <c r="F120" s="18"/>
      <c r="G120" s="25"/>
      <c r="H120" s="4"/>
      <c r="I120" s="29"/>
      <c r="J120" s="30"/>
      <c r="K120" s="18"/>
      <c r="L120" s="23" cm="1">
        <f t="array" ref="L120">_xlfn.IFERROR(VLOOKUP(D120,'Lookups'!$A$2:$C$17,2,FALSE),0)</f>
        <v>0</v>
      </c>
      <c r="M120" s="23" cm="1">
        <f t="array" ref="M120">K120*L120</f>
        <v>0</v>
      </c>
      <c r="N120" s="18"/>
      <c r="O120" s="23"/>
      <c r="P120" s="23" cm="1">
        <f t="array" ref="P120">N120*O120</f>
        <v>0</v>
      </c>
      <c r="Q120" t="s" s="17">
        <v>37</v>
      </c>
      <c r="R120" s="23" cm="1">
        <f t="array" ref="R120">(M120+P120)*(1+VALUE(SUBSTITUTE(Q120,"%",""))/100)</f>
        <v>0</v>
      </c>
      <c r="S120" t="s" s="17">
        <v>31</v>
      </c>
    </row>
    <row r="121" ht="16" customHeight="1">
      <c r="A121" s="15">
        <v>9</v>
      </c>
      <c r="B121" s="18"/>
      <c r="C121" s="28"/>
      <c r="D121" s="18"/>
      <c r="E121" s="18"/>
      <c r="F121" s="18"/>
      <c r="G121" s="25"/>
      <c r="H121" s="4"/>
      <c r="I121" s="29"/>
      <c r="J121" s="30"/>
      <c r="K121" s="18"/>
      <c r="L121" s="23" cm="1">
        <f t="array" ref="L121">_xlfn.IFERROR(VLOOKUP(D121,'Lookups'!$A$2:$C$17,2,FALSE),0)</f>
        <v>0</v>
      </c>
      <c r="M121" s="23" cm="1">
        <f t="array" ref="M121">K121*L121</f>
        <v>0</v>
      </c>
      <c r="N121" s="18"/>
      <c r="O121" s="23"/>
      <c r="P121" s="23" cm="1">
        <f t="array" ref="P121">N121*O121</f>
        <v>0</v>
      </c>
      <c r="Q121" t="s" s="17">
        <v>37</v>
      </c>
      <c r="R121" s="23" cm="1">
        <f t="array" ref="R121">(M121+P121)*(1+VALUE(SUBSTITUTE(Q121,"%",""))/100)</f>
        <v>0</v>
      </c>
      <c r="S121" t="s" s="17">
        <v>31</v>
      </c>
    </row>
    <row r="122" ht="16" customHeight="1">
      <c r="A122" s="15">
        <v>9</v>
      </c>
      <c r="B122" s="18"/>
      <c r="C122" s="28"/>
      <c r="D122" s="18"/>
      <c r="E122" s="18"/>
      <c r="F122" s="18"/>
      <c r="G122" s="31"/>
      <c r="H122" s="9"/>
      <c r="I122" s="32"/>
      <c r="J122" s="33"/>
      <c r="K122" s="18"/>
      <c r="L122" s="23" cm="1">
        <f t="array" ref="L122">_xlfn.IFERROR(VLOOKUP(D122,'Lookups'!$A$2:$C$17,2,FALSE),0)</f>
        <v>0</v>
      </c>
      <c r="M122" s="23" cm="1">
        <f t="array" ref="M122">K122*L122</f>
        <v>0</v>
      </c>
      <c r="N122" s="18"/>
      <c r="O122" s="23"/>
      <c r="P122" s="23" cm="1">
        <f t="array" ref="P122">N122*O122</f>
        <v>0</v>
      </c>
      <c r="Q122" t="s" s="17">
        <v>37</v>
      </c>
      <c r="R122" s="23" cm="1">
        <f t="array" ref="R122">(M122+P122)*(1+VALUE(SUBSTITUTE(Q122,"%",""))/100)</f>
        <v>0</v>
      </c>
      <c r="S122" t="s" s="17">
        <v>31</v>
      </c>
    </row>
    <row r="123" ht="16" customHeight="1">
      <c r="A123" t="s" s="11">
        <v>79</v>
      </c>
      <c r="B123" s="12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4"/>
      <c r="P123" s="12"/>
      <c r="Q123" s="13"/>
      <c r="R123" s="13"/>
      <c r="S123" s="14"/>
    </row>
    <row r="124" ht="16" customHeight="1">
      <c r="A124" s="15">
        <v>10</v>
      </c>
      <c r="B124" t="s" s="16">
        <v>59</v>
      </c>
      <c r="C124" t="s" s="17">
        <v>26</v>
      </c>
      <c r="D124" t="s" s="16">
        <v>27</v>
      </c>
      <c r="E124" s="18"/>
      <c r="F124" s="18"/>
      <c r="G124" s="19"/>
      <c r="H124" s="20"/>
      <c r="I124" s="36"/>
      <c r="J124" s="37"/>
      <c r="K124" s="18"/>
      <c r="L124" s="23" cm="1">
        <f t="array" ref="L124">_xlfn.IFERROR(VLOOKUP(D124,'Lookups'!$A$2:$C$17,2,FALSE),0)</f>
        <v>45</v>
      </c>
      <c r="M124" s="23">
        <v>1640</v>
      </c>
      <c r="N124" s="18"/>
      <c r="O124" s="23"/>
      <c r="P124" s="23" cm="1">
        <f t="array" ref="P124">N124*O124</f>
        <v>0</v>
      </c>
      <c r="Q124" s="24">
        <v>0</v>
      </c>
      <c r="R124" s="23" cm="1">
        <f t="array" ref="R124">(M124+P124)*(1+VALUE(SUBSTITUTE(Q124,"%",""))/100)</f>
        <v>1640</v>
      </c>
      <c r="S124" t="s" s="17">
        <v>31</v>
      </c>
    </row>
    <row r="125" ht="16" customHeight="1">
      <c r="A125" s="15">
        <v>10</v>
      </c>
      <c r="B125" t="s" s="16">
        <v>71</v>
      </c>
      <c r="C125" t="s" s="17">
        <v>26</v>
      </c>
      <c r="D125" t="s" s="16">
        <v>27</v>
      </c>
      <c r="E125" s="18"/>
      <c r="F125" s="18"/>
      <c r="G125" s="25"/>
      <c r="H125" s="4"/>
      <c r="I125" s="29"/>
      <c r="J125" s="30"/>
      <c r="K125" s="18"/>
      <c r="L125" s="23" cm="1">
        <f t="array" ref="L125">_xlfn.IFERROR(VLOOKUP(D125,'Lookups'!$A$2:$C$17,2,FALSE),0)</f>
        <v>45</v>
      </c>
      <c r="M125" s="23">
        <v>675</v>
      </c>
      <c r="N125" s="18"/>
      <c r="O125" s="23"/>
      <c r="P125" s="23" cm="1">
        <f t="array" ref="P125">N125*O125</f>
        <v>0</v>
      </c>
      <c r="Q125" s="24">
        <v>0</v>
      </c>
      <c r="R125" s="23" cm="1">
        <f t="array" ref="R125">(M125+P125)*(1+VALUE(SUBSTITUTE(Q125,"%",""))/100)</f>
        <v>675</v>
      </c>
      <c r="S125" t="s" s="17">
        <v>31</v>
      </c>
    </row>
    <row r="126" ht="16" customHeight="1">
      <c r="A126" s="15">
        <v>10</v>
      </c>
      <c r="B126" t="s" s="16">
        <v>25</v>
      </c>
      <c r="C126" t="s" s="17">
        <v>26</v>
      </c>
      <c r="D126" t="s" s="16">
        <v>27</v>
      </c>
      <c r="E126" s="18"/>
      <c r="F126" s="18"/>
      <c r="G126" s="25"/>
      <c r="H126" s="4"/>
      <c r="I126" s="29"/>
      <c r="J126" s="30"/>
      <c r="K126" s="18"/>
      <c r="L126" s="23" cm="1">
        <f t="array" ref="L126">_xlfn.IFERROR(VLOOKUP(D126,'Lookups'!$A$2:$C$17,2,FALSE),0)</f>
        <v>45</v>
      </c>
      <c r="M126" s="23">
        <v>600</v>
      </c>
      <c r="N126" s="18"/>
      <c r="O126" s="23"/>
      <c r="P126" s="23" cm="1">
        <f t="array" ref="P126">N126*O126</f>
        <v>0</v>
      </c>
      <c r="Q126" s="24">
        <v>0</v>
      </c>
      <c r="R126" s="23" cm="1">
        <f t="array" ref="R126">(M126+P126)*(1+VALUE(SUBSTITUTE(Q126,"%",""))/100)</f>
        <v>600</v>
      </c>
      <c r="S126" t="s" s="17">
        <v>31</v>
      </c>
    </row>
    <row r="127" ht="16" customHeight="1">
      <c r="A127" s="15">
        <v>10</v>
      </c>
      <c r="B127" s="18"/>
      <c r="C127" s="28"/>
      <c r="D127" s="18"/>
      <c r="E127" s="18"/>
      <c r="F127" s="18"/>
      <c r="G127" s="25"/>
      <c r="H127" s="4"/>
      <c r="I127" s="29"/>
      <c r="J127" s="30"/>
      <c r="K127" s="18"/>
      <c r="L127" s="23" cm="1">
        <f t="array" ref="L127">_xlfn.IFERROR(VLOOKUP(D127,'Lookups'!$A$2:$C$17,2,FALSE),0)</f>
        <v>0</v>
      </c>
      <c r="M127" s="23" cm="1">
        <f t="array" ref="M127">K127*L127</f>
        <v>0</v>
      </c>
      <c r="N127" s="18"/>
      <c r="O127" s="23"/>
      <c r="P127" s="23" cm="1">
        <f t="array" ref="P127">N127*O127</f>
        <v>0</v>
      </c>
      <c r="Q127" t="s" s="17">
        <v>37</v>
      </c>
      <c r="R127" s="23" cm="1">
        <f t="array" ref="R127">(M127+P127)*(1+VALUE(SUBSTITUTE(Q127,"%",""))/100)</f>
        <v>0</v>
      </c>
      <c r="S127" t="s" s="17">
        <v>31</v>
      </c>
    </row>
    <row r="128" ht="16" customHeight="1">
      <c r="A128" s="15">
        <v>10</v>
      </c>
      <c r="B128" s="18"/>
      <c r="C128" s="28"/>
      <c r="D128" s="18"/>
      <c r="E128" s="18"/>
      <c r="F128" s="18"/>
      <c r="G128" s="25"/>
      <c r="H128" s="4"/>
      <c r="I128" s="29"/>
      <c r="J128" s="30"/>
      <c r="K128" s="18"/>
      <c r="L128" s="23" cm="1">
        <f t="array" ref="L128">_xlfn.IFERROR(VLOOKUP(D128,'Lookups'!$A$2:$C$17,2,FALSE),0)</f>
        <v>0</v>
      </c>
      <c r="M128" s="23" cm="1">
        <f t="array" ref="M128">K128*L128</f>
        <v>0</v>
      </c>
      <c r="N128" s="18"/>
      <c r="O128" s="23"/>
      <c r="P128" s="23" cm="1">
        <f t="array" ref="P128">N128*O128</f>
        <v>0</v>
      </c>
      <c r="Q128" t="s" s="17">
        <v>37</v>
      </c>
      <c r="R128" s="23" cm="1">
        <f t="array" ref="R128">(M128+P128)*(1+VALUE(SUBSTITUTE(Q128,"%",""))/100)</f>
        <v>0</v>
      </c>
      <c r="S128" t="s" s="17">
        <v>31</v>
      </c>
    </row>
    <row r="129" ht="16" customHeight="1">
      <c r="A129" s="15">
        <v>10</v>
      </c>
      <c r="B129" s="18"/>
      <c r="C129" s="28"/>
      <c r="D129" s="18"/>
      <c r="E129" s="18"/>
      <c r="F129" s="18"/>
      <c r="G129" s="25"/>
      <c r="H129" s="4"/>
      <c r="I129" s="29"/>
      <c r="J129" s="30"/>
      <c r="K129" s="18"/>
      <c r="L129" s="23" cm="1">
        <f t="array" ref="L129">_xlfn.IFERROR(VLOOKUP(D129,'Lookups'!$A$2:$C$17,2,FALSE),0)</f>
        <v>0</v>
      </c>
      <c r="M129" s="23" cm="1">
        <f t="array" ref="M129">K129*L129</f>
        <v>0</v>
      </c>
      <c r="N129" s="18"/>
      <c r="O129" s="23"/>
      <c r="P129" s="23" cm="1">
        <f t="array" ref="P129">N129*O129</f>
        <v>0</v>
      </c>
      <c r="Q129" t="s" s="17">
        <v>37</v>
      </c>
      <c r="R129" s="23" cm="1">
        <f t="array" ref="R129">(M129+P129)*(1+VALUE(SUBSTITUTE(Q129,"%",""))/100)</f>
        <v>0</v>
      </c>
      <c r="S129" t="s" s="17">
        <v>31</v>
      </c>
    </row>
    <row r="130" ht="16" customHeight="1">
      <c r="A130" s="15">
        <v>10</v>
      </c>
      <c r="B130" s="18"/>
      <c r="C130" s="28"/>
      <c r="D130" s="18"/>
      <c r="E130" s="18"/>
      <c r="F130" s="18"/>
      <c r="G130" s="25"/>
      <c r="H130" s="4"/>
      <c r="I130" s="29"/>
      <c r="J130" s="30"/>
      <c r="K130" s="18"/>
      <c r="L130" s="23" cm="1">
        <f t="array" ref="L130">_xlfn.IFERROR(VLOOKUP(D130,'Lookups'!$A$2:$C$17,2,FALSE),0)</f>
        <v>0</v>
      </c>
      <c r="M130" s="23" cm="1">
        <f t="array" ref="M130">K130*L130</f>
        <v>0</v>
      </c>
      <c r="N130" s="18"/>
      <c r="O130" s="23"/>
      <c r="P130" s="23" cm="1">
        <f t="array" ref="P130">N130*O130</f>
        <v>0</v>
      </c>
      <c r="Q130" t="s" s="17">
        <v>37</v>
      </c>
      <c r="R130" s="23" cm="1">
        <f t="array" ref="R130">(M130+P130)*(1+VALUE(SUBSTITUTE(Q130,"%",""))/100)</f>
        <v>0</v>
      </c>
      <c r="S130" t="s" s="17">
        <v>31</v>
      </c>
    </row>
    <row r="131" ht="16" customHeight="1">
      <c r="A131" s="15">
        <v>10</v>
      </c>
      <c r="B131" s="18"/>
      <c r="C131" s="28"/>
      <c r="D131" s="18"/>
      <c r="E131" s="18"/>
      <c r="F131" s="18"/>
      <c r="G131" s="25"/>
      <c r="H131" s="4"/>
      <c r="I131" s="29"/>
      <c r="J131" s="30"/>
      <c r="K131" s="18"/>
      <c r="L131" s="23" cm="1">
        <f t="array" ref="L131">_xlfn.IFERROR(VLOOKUP(D131,'Lookups'!$A$2:$C$17,2,FALSE),0)</f>
        <v>0</v>
      </c>
      <c r="M131" s="23" cm="1">
        <f t="array" ref="M131">K131*L131</f>
        <v>0</v>
      </c>
      <c r="N131" s="18"/>
      <c r="O131" s="23"/>
      <c r="P131" s="23" cm="1">
        <f t="array" ref="P131">N131*O131</f>
        <v>0</v>
      </c>
      <c r="Q131" t="s" s="17">
        <v>37</v>
      </c>
      <c r="R131" s="23" cm="1">
        <f t="array" ref="R131">(M131+P131)*(1+VALUE(SUBSTITUTE(Q131,"%",""))/100)</f>
        <v>0</v>
      </c>
      <c r="S131" t="s" s="17">
        <v>31</v>
      </c>
    </row>
    <row r="132" ht="16" customHeight="1">
      <c r="A132" s="15">
        <v>10</v>
      </c>
      <c r="B132" s="18"/>
      <c r="C132" s="28"/>
      <c r="D132" s="18"/>
      <c r="E132" s="18"/>
      <c r="F132" s="18"/>
      <c r="G132" s="25"/>
      <c r="H132" s="4"/>
      <c r="I132" s="29"/>
      <c r="J132" s="30"/>
      <c r="K132" s="18"/>
      <c r="L132" s="23" cm="1">
        <f t="array" ref="L132">_xlfn.IFERROR(VLOOKUP(D132,'Lookups'!$A$2:$C$17,2,FALSE),0)</f>
        <v>0</v>
      </c>
      <c r="M132" s="23" cm="1">
        <f t="array" ref="M132">K132*L132</f>
        <v>0</v>
      </c>
      <c r="N132" s="18"/>
      <c r="O132" s="23"/>
      <c r="P132" s="23" cm="1">
        <f t="array" ref="P132">N132*O132</f>
        <v>0</v>
      </c>
      <c r="Q132" t="s" s="17">
        <v>37</v>
      </c>
      <c r="R132" s="23" cm="1">
        <f t="array" ref="R132">(M132+P132)*(1+VALUE(SUBSTITUTE(Q132,"%",""))/100)</f>
        <v>0</v>
      </c>
      <c r="S132" t="s" s="17">
        <v>31</v>
      </c>
    </row>
    <row r="133" ht="16" customHeight="1">
      <c r="A133" s="15">
        <v>10</v>
      </c>
      <c r="B133" s="18"/>
      <c r="C133" s="28"/>
      <c r="D133" s="18"/>
      <c r="E133" s="18"/>
      <c r="F133" s="18"/>
      <c r="G133" s="25"/>
      <c r="H133" s="4"/>
      <c r="I133" s="29"/>
      <c r="J133" s="30"/>
      <c r="K133" s="18"/>
      <c r="L133" s="23" cm="1">
        <f t="array" ref="L133">_xlfn.IFERROR(VLOOKUP(D133,'Lookups'!$A$2:$C$17,2,FALSE),0)</f>
        <v>0</v>
      </c>
      <c r="M133" s="23" cm="1">
        <f t="array" ref="M133">K133*L133</f>
        <v>0</v>
      </c>
      <c r="N133" s="18"/>
      <c r="O133" s="23"/>
      <c r="P133" s="23" cm="1">
        <f t="array" ref="P133">N133*O133</f>
        <v>0</v>
      </c>
      <c r="Q133" t="s" s="17">
        <v>37</v>
      </c>
      <c r="R133" s="23" cm="1">
        <f t="array" ref="R133">(M133+P133)*(1+VALUE(SUBSTITUTE(Q133,"%",""))/100)</f>
        <v>0</v>
      </c>
      <c r="S133" t="s" s="17">
        <v>31</v>
      </c>
    </row>
    <row r="134" ht="16" customHeight="1">
      <c r="A134" s="15">
        <v>10</v>
      </c>
      <c r="B134" s="18"/>
      <c r="C134" s="28"/>
      <c r="D134" s="18"/>
      <c r="E134" s="18"/>
      <c r="F134" s="18"/>
      <c r="G134" s="25"/>
      <c r="H134" s="4"/>
      <c r="I134" s="29"/>
      <c r="J134" s="30"/>
      <c r="K134" s="18"/>
      <c r="L134" s="23" cm="1">
        <f t="array" ref="L134">_xlfn.IFERROR(VLOOKUP(D134,'Lookups'!$A$2:$C$17,2,FALSE),0)</f>
        <v>0</v>
      </c>
      <c r="M134" s="23" cm="1">
        <f t="array" ref="M134">K134*L134</f>
        <v>0</v>
      </c>
      <c r="N134" s="18"/>
      <c r="O134" s="23"/>
      <c r="P134" s="23" cm="1">
        <f t="array" ref="P134">N134*O134</f>
        <v>0</v>
      </c>
      <c r="Q134" t="s" s="17">
        <v>37</v>
      </c>
      <c r="R134" s="23" cm="1">
        <f t="array" ref="R134">(M134+P134)*(1+VALUE(SUBSTITUTE(Q134,"%",""))/100)</f>
        <v>0</v>
      </c>
      <c r="S134" t="s" s="17">
        <v>31</v>
      </c>
    </row>
    <row r="135" ht="16" customHeight="1">
      <c r="A135" s="15">
        <v>10</v>
      </c>
      <c r="B135" s="18"/>
      <c r="C135" s="28"/>
      <c r="D135" s="18"/>
      <c r="E135" s="18"/>
      <c r="F135" s="18"/>
      <c r="G135" s="31"/>
      <c r="H135" s="9"/>
      <c r="I135" s="32"/>
      <c r="J135" s="33"/>
      <c r="K135" s="18"/>
      <c r="L135" s="23" cm="1">
        <f t="array" ref="L135">_xlfn.IFERROR(VLOOKUP(D135,'Lookups'!$A$2:$C$17,2,FALSE),0)</f>
        <v>0</v>
      </c>
      <c r="M135" s="23" cm="1">
        <f t="array" ref="M135">K135*L135</f>
        <v>0</v>
      </c>
      <c r="N135" s="18"/>
      <c r="O135" s="23"/>
      <c r="P135" s="23" cm="1">
        <f t="array" ref="P135">N135*O135</f>
        <v>0</v>
      </c>
      <c r="Q135" t="s" s="17">
        <v>44</v>
      </c>
      <c r="R135" s="23" cm="1">
        <f t="array" ref="R135">(M135+P135)*(1+VALUE(SUBSTITUTE(Q135,"%",""))/100)</f>
        <v>0</v>
      </c>
      <c r="S135" t="s" s="17">
        <v>31</v>
      </c>
    </row>
    <row r="136" ht="16" customHeight="1">
      <c r="A136" t="s" s="11">
        <v>80</v>
      </c>
      <c r="B136" s="12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4"/>
      <c r="P136" s="12"/>
      <c r="Q136" s="13"/>
      <c r="R136" s="13"/>
      <c r="S136" s="14"/>
    </row>
    <row r="137" ht="16" customHeight="1">
      <c r="A137" s="15">
        <v>11</v>
      </c>
      <c r="B137" t="s" s="16">
        <v>59</v>
      </c>
      <c r="C137" t="s" s="17">
        <v>26</v>
      </c>
      <c r="D137" t="s" s="16">
        <v>27</v>
      </c>
      <c r="E137" s="18"/>
      <c r="F137" s="18"/>
      <c r="G137" s="19"/>
      <c r="H137" s="20"/>
      <c r="I137" s="36"/>
      <c r="J137" s="37"/>
      <c r="K137" s="18"/>
      <c r="L137" s="23" cm="1">
        <f t="array" ref="L137">_xlfn.IFERROR(VLOOKUP(D137,'Lookups'!$A$2:$C$17,2,FALSE),0)</f>
        <v>45</v>
      </c>
      <c r="M137" s="23">
        <v>400</v>
      </c>
      <c r="N137" s="18"/>
      <c r="O137" s="23"/>
      <c r="P137" s="23" cm="1">
        <f t="array" ref="P137">N137*O137</f>
        <v>0</v>
      </c>
      <c r="Q137" s="24">
        <v>0</v>
      </c>
      <c r="R137" s="23" cm="1">
        <f t="array" ref="R137">(M137+P137)*(1+VALUE(SUBSTITUTE(Q137,"%",""))/100)</f>
        <v>400</v>
      </c>
      <c r="S137" t="s" s="17">
        <v>31</v>
      </c>
    </row>
    <row r="138" ht="16" customHeight="1">
      <c r="A138" s="15">
        <v>11</v>
      </c>
      <c r="B138" t="s" s="16">
        <v>25</v>
      </c>
      <c r="C138" t="s" s="17">
        <v>26</v>
      </c>
      <c r="D138" t="s" s="16">
        <v>27</v>
      </c>
      <c r="E138" s="18"/>
      <c r="F138" s="18"/>
      <c r="G138" s="25"/>
      <c r="H138" s="4"/>
      <c r="I138" s="29"/>
      <c r="J138" s="30"/>
      <c r="K138" s="18"/>
      <c r="L138" s="23" cm="1">
        <f t="array" ref="L138">_xlfn.IFERROR(VLOOKUP(D138,'Lookups'!$A$2:$C$17,2,FALSE),0)</f>
        <v>45</v>
      </c>
      <c r="M138" s="23">
        <v>300</v>
      </c>
      <c r="N138" s="18"/>
      <c r="O138" s="23"/>
      <c r="P138" s="23" cm="1">
        <f t="array" ref="P138">N138*O138</f>
        <v>0</v>
      </c>
      <c r="Q138" s="24">
        <v>0</v>
      </c>
      <c r="R138" s="23" cm="1">
        <f t="array" ref="R138">(M138+P138)*(1+VALUE(SUBSTITUTE(Q138,"%",""))/100)</f>
        <v>300</v>
      </c>
      <c r="S138" t="s" s="17">
        <v>31</v>
      </c>
    </row>
    <row r="139" ht="16" customHeight="1">
      <c r="A139" s="15">
        <v>11</v>
      </c>
      <c r="B139" s="18"/>
      <c r="C139" s="28"/>
      <c r="D139" s="18"/>
      <c r="E139" s="18"/>
      <c r="F139" s="18"/>
      <c r="G139" s="25"/>
      <c r="H139" s="4"/>
      <c r="I139" s="29"/>
      <c r="J139" s="30"/>
      <c r="K139" s="18"/>
      <c r="L139" s="23" cm="1">
        <f t="array" ref="L139">_xlfn.IFERROR(VLOOKUP(D139,'Lookups'!$A$2:$C$17,2,FALSE),0)</f>
        <v>0</v>
      </c>
      <c r="M139" s="23" cm="1">
        <f t="array" ref="M139">K139*L139</f>
        <v>0</v>
      </c>
      <c r="N139" s="18"/>
      <c r="O139" s="23"/>
      <c r="P139" s="23" cm="1">
        <f t="array" ref="P139">N139*O139</f>
        <v>0</v>
      </c>
      <c r="Q139" t="s" s="17">
        <v>37</v>
      </c>
      <c r="R139" s="23" cm="1">
        <f t="array" ref="R139">(M139+P139)*(1+VALUE(SUBSTITUTE(Q139,"%",""))/100)</f>
        <v>0</v>
      </c>
      <c r="S139" t="s" s="17">
        <v>31</v>
      </c>
    </row>
    <row r="140" ht="16" customHeight="1">
      <c r="A140" s="15">
        <v>11</v>
      </c>
      <c r="B140" s="18"/>
      <c r="C140" s="28"/>
      <c r="D140" s="18"/>
      <c r="E140" s="18"/>
      <c r="F140" s="18"/>
      <c r="G140" s="25"/>
      <c r="H140" s="4"/>
      <c r="I140" s="29"/>
      <c r="J140" s="30"/>
      <c r="K140" s="18"/>
      <c r="L140" s="23" cm="1">
        <f t="array" ref="L140">_xlfn.IFERROR(VLOOKUP(D140,'Lookups'!$A$2:$C$17,2,FALSE),0)</f>
        <v>0</v>
      </c>
      <c r="M140" s="23" cm="1">
        <f t="array" ref="M140">K140*L140</f>
        <v>0</v>
      </c>
      <c r="N140" s="18"/>
      <c r="O140" s="23"/>
      <c r="P140" s="23" cm="1">
        <f t="array" ref="P140">N140*O140</f>
        <v>0</v>
      </c>
      <c r="Q140" t="s" s="17">
        <v>37</v>
      </c>
      <c r="R140" s="23" cm="1">
        <f t="array" ref="R140">(M140+P140)*(1+VALUE(SUBSTITUTE(Q140,"%",""))/100)</f>
        <v>0</v>
      </c>
      <c r="S140" t="s" s="17">
        <v>31</v>
      </c>
    </row>
    <row r="141" ht="16" customHeight="1">
      <c r="A141" s="15">
        <v>11</v>
      </c>
      <c r="B141" s="18"/>
      <c r="C141" s="28"/>
      <c r="D141" s="18"/>
      <c r="E141" s="18"/>
      <c r="F141" s="18"/>
      <c r="G141" s="25"/>
      <c r="H141" s="4"/>
      <c r="I141" s="29"/>
      <c r="J141" s="30"/>
      <c r="K141" s="18"/>
      <c r="L141" s="23" cm="1">
        <f t="array" ref="L141">_xlfn.IFERROR(VLOOKUP(D141,'Lookups'!$A$2:$C$17,2,FALSE),0)</f>
        <v>0</v>
      </c>
      <c r="M141" s="23" cm="1">
        <f t="array" ref="M141">K141*L141</f>
        <v>0</v>
      </c>
      <c r="N141" s="18"/>
      <c r="O141" s="23"/>
      <c r="P141" s="23" cm="1">
        <f t="array" ref="P141">N141*O141</f>
        <v>0</v>
      </c>
      <c r="Q141" t="s" s="17">
        <v>37</v>
      </c>
      <c r="R141" s="23" cm="1">
        <f t="array" ref="R141">(M141+P141)*(1+VALUE(SUBSTITUTE(Q141,"%",""))/100)</f>
        <v>0</v>
      </c>
      <c r="S141" t="s" s="17">
        <v>31</v>
      </c>
    </row>
    <row r="142" ht="16" customHeight="1">
      <c r="A142" s="15">
        <v>11</v>
      </c>
      <c r="B142" s="18"/>
      <c r="C142" s="28"/>
      <c r="D142" s="18"/>
      <c r="E142" s="18"/>
      <c r="F142" s="18"/>
      <c r="G142" s="25"/>
      <c r="H142" s="4"/>
      <c r="I142" s="29"/>
      <c r="J142" s="30"/>
      <c r="K142" s="18"/>
      <c r="L142" s="23" cm="1">
        <f t="array" ref="L142">_xlfn.IFERROR(VLOOKUP(D142,'Lookups'!$A$2:$C$17,2,FALSE),0)</f>
        <v>0</v>
      </c>
      <c r="M142" s="23" cm="1">
        <f t="array" ref="M142">K142*L142</f>
        <v>0</v>
      </c>
      <c r="N142" s="18"/>
      <c r="O142" s="23"/>
      <c r="P142" s="23" cm="1">
        <f t="array" ref="P142">N142*O142</f>
        <v>0</v>
      </c>
      <c r="Q142" t="s" s="17">
        <v>37</v>
      </c>
      <c r="R142" s="23" cm="1">
        <f t="array" ref="R142">(M142+P142)*(1+VALUE(SUBSTITUTE(Q142,"%",""))/100)</f>
        <v>0</v>
      </c>
      <c r="S142" t="s" s="17">
        <v>31</v>
      </c>
    </row>
    <row r="143" ht="16" customHeight="1">
      <c r="A143" s="15">
        <v>11</v>
      </c>
      <c r="B143" s="18"/>
      <c r="C143" s="28"/>
      <c r="D143" s="18"/>
      <c r="E143" s="18"/>
      <c r="F143" s="18"/>
      <c r="G143" s="25"/>
      <c r="H143" s="4"/>
      <c r="I143" s="29"/>
      <c r="J143" s="30"/>
      <c r="K143" s="18"/>
      <c r="L143" s="23" cm="1">
        <f t="array" ref="L143">_xlfn.IFERROR(VLOOKUP(D143,'Lookups'!$A$2:$C$17,2,FALSE),0)</f>
        <v>0</v>
      </c>
      <c r="M143" s="23" cm="1">
        <f t="array" ref="M143">K143*L143</f>
        <v>0</v>
      </c>
      <c r="N143" s="18"/>
      <c r="O143" s="23"/>
      <c r="P143" s="23" cm="1">
        <f t="array" ref="P143">N143*O143</f>
        <v>0</v>
      </c>
      <c r="Q143" t="s" s="17">
        <v>37</v>
      </c>
      <c r="R143" s="23" cm="1">
        <f t="array" ref="R143">(M143+P143)*(1+VALUE(SUBSTITUTE(Q143,"%",""))/100)</f>
        <v>0</v>
      </c>
      <c r="S143" t="s" s="17">
        <v>31</v>
      </c>
    </row>
    <row r="144" ht="16" customHeight="1">
      <c r="A144" s="15">
        <v>11</v>
      </c>
      <c r="B144" s="18"/>
      <c r="C144" s="28"/>
      <c r="D144" s="18"/>
      <c r="E144" s="18"/>
      <c r="F144" s="18"/>
      <c r="G144" s="25"/>
      <c r="H144" s="4"/>
      <c r="I144" s="29"/>
      <c r="J144" s="30"/>
      <c r="K144" s="18"/>
      <c r="L144" s="23" cm="1">
        <f t="array" ref="L144">_xlfn.IFERROR(VLOOKUP(D144,'Lookups'!$A$2:$C$17,2,FALSE),0)</f>
        <v>0</v>
      </c>
      <c r="M144" s="23" cm="1">
        <f t="array" ref="M144">K144*L144</f>
        <v>0</v>
      </c>
      <c r="N144" s="18"/>
      <c r="O144" s="23"/>
      <c r="P144" s="23" cm="1">
        <f t="array" ref="P144">N144*O144</f>
        <v>0</v>
      </c>
      <c r="Q144" t="s" s="17">
        <v>37</v>
      </c>
      <c r="R144" s="23" cm="1">
        <f t="array" ref="R144">(M144+P144)*(1+VALUE(SUBSTITUTE(Q144,"%",""))/100)</f>
        <v>0</v>
      </c>
      <c r="S144" t="s" s="17">
        <v>31</v>
      </c>
    </row>
    <row r="145" ht="16" customHeight="1">
      <c r="A145" s="15">
        <v>11</v>
      </c>
      <c r="B145" s="18"/>
      <c r="C145" s="28"/>
      <c r="D145" s="18"/>
      <c r="E145" s="18"/>
      <c r="F145" s="18"/>
      <c r="G145" s="25"/>
      <c r="H145" s="4"/>
      <c r="I145" s="29"/>
      <c r="J145" s="30"/>
      <c r="K145" s="18"/>
      <c r="L145" s="23" cm="1">
        <f t="array" ref="L145">_xlfn.IFERROR(VLOOKUP(D145,'Lookups'!$A$2:$C$17,2,FALSE),0)</f>
        <v>0</v>
      </c>
      <c r="M145" s="23" cm="1">
        <f t="array" ref="M145">K145*L145</f>
        <v>0</v>
      </c>
      <c r="N145" s="18"/>
      <c r="O145" s="23"/>
      <c r="P145" s="23" cm="1">
        <f t="array" ref="P145">N145*O145</f>
        <v>0</v>
      </c>
      <c r="Q145" t="s" s="17">
        <v>37</v>
      </c>
      <c r="R145" s="23" cm="1">
        <f t="array" ref="R145">(M145+P145)*(1+VALUE(SUBSTITUTE(Q145,"%",""))/100)</f>
        <v>0</v>
      </c>
      <c r="S145" t="s" s="17">
        <v>31</v>
      </c>
    </row>
    <row r="146" ht="16" customHeight="1">
      <c r="A146" s="15">
        <v>11</v>
      </c>
      <c r="B146" s="18"/>
      <c r="C146" s="28"/>
      <c r="D146" s="18"/>
      <c r="E146" s="18"/>
      <c r="F146" s="18"/>
      <c r="G146" s="25"/>
      <c r="H146" s="4"/>
      <c r="I146" s="29"/>
      <c r="J146" s="30"/>
      <c r="K146" s="18"/>
      <c r="L146" s="23" cm="1">
        <f t="array" ref="L146">_xlfn.IFERROR(VLOOKUP(D146,'Lookups'!$A$2:$C$17,2,FALSE),0)</f>
        <v>0</v>
      </c>
      <c r="M146" s="23" cm="1">
        <f t="array" ref="M146">K146*L146</f>
        <v>0</v>
      </c>
      <c r="N146" s="18"/>
      <c r="O146" s="23"/>
      <c r="P146" s="23" cm="1">
        <f t="array" ref="P146">N146*O146</f>
        <v>0</v>
      </c>
      <c r="Q146" t="s" s="17">
        <v>37</v>
      </c>
      <c r="R146" s="23" cm="1">
        <f t="array" ref="R146">(M146+P146)*(1+VALUE(SUBSTITUTE(Q146,"%",""))/100)</f>
        <v>0</v>
      </c>
      <c r="S146" t="s" s="17">
        <v>31</v>
      </c>
    </row>
    <row r="147" ht="16" customHeight="1">
      <c r="A147" s="15">
        <v>11</v>
      </c>
      <c r="B147" s="18"/>
      <c r="C147" s="28"/>
      <c r="D147" s="18"/>
      <c r="E147" s="18"/>
      <c r="F147" s="18"/>
      <c r="G147" s="25"/>
      <c r="H147" s="4"/>
      <c r="I147" s="29"/>
      <c r="J147" s="30"/>
      <c r="K147" s="18"/>
      <c r="L147" s="23" cm="1">
        <f t="array" ref="L147">_xlfn.IFERROR(VLOOKUP(D147,'Lookups'!$A$2:$C$17,2,FALSE),0)</f>
        <v>0</v>
      </c>
      <c r="M147" s="23" cm="1">
        <f t="array" ref="M147">K147*L147</f>
        <v>0</v>
      </c>
      <c r="N147" s="18"/>
      <c r="O147" s="23"/>
      <c r="P147" s="23" cm="1">
        <f t="array" ref="P147">N147*O147</f>
        <v>0</v>
      </c>
      <c r="Q147" t="s" s="17">
        <v>37</v>
      </c>
      <c r="R147" s="23" cm="1">
        <f t="array" ref="R147">(M147+P147)*(1+VALUE(SUBSTITUTE(Q147,"%",""))/100)</f>
        <v>0</v>
      </c>
      <c r="S147" t="s" s="17">
        <v>31</v>
      </c>
    </row>
    <row r="148" ht="16" customHeight="1">
      <c r="A148" s="15">
        <v>11</v>
      </c>
      <c r="B148" s="18"/>
      <c r="C148" s="28"/>
      <c r="D148" s="18"/>
      <c r="E148" s="18"/>
      <c r="F148" s="18"/>
      <c r="G148" s="31"/>
      <c r="H148" s="9"/>
      <c r="I148" s="32"/>
      <c r="J148" s="33"/>
      <c r="K148" s="18"/>
      <c r="L148" s="23" cm="1">
        <f t="array" ref="L148">_xlfn.IFERROR(VLOOKUP(D148,'Lookups'!$A$2:$C$17,2,FALSE),0)</f>
        <v>0</v>
      </c>
      <c r="M148" s="23" cm="1">
        <f t="array" ref="M148">K148*L148</f>
        <v>0</v>
      </c>
      <c r="N148" s="18"/>
      <c r="O148" s="23"/>
      <c r="P148" s="23" cm="1">
        <f t="array" ref="P148">N148*O148</f>
        <v>0</v>
      </c>
      <c r="Q148" t="s" s="17">
        <v>37</v>
      </c>
      <c r="R148" s="23" cm="1">
        <f t="array" ref="R148">(M148+P148)*(1+VALUE(SUBSTITUTE(Q148,"%",""))/100)</f>
        <v>0</v>
      </c>
      <c r="S148" t="s" s="17">
        <v>31</v>
      </c>
    </row>
    <row r="149" ht="16" customHeight="1">
      <c r="A149" t="s" s="11">
        <v>81</v>
      </c>
      <c r="B149" s="12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4"/>
      <c r="P149" s="12"/>
      <c r="Q149" s="13"/>
      <c r="R149" s="13"/>
      <c r="S149" s="14"/>
    </row>
    <row r="150" ht="16" customHeight="1">
      <c r="A150" s="15">
        <v>12</v>
      </c>
      <c r="B150" t="s" s="16">
        <v>82</v>
      </c>
      <c r="C150" t="s" s="17">
        <v>54</v>
      </c>
      <c r="D150" t="s" s="16">
        <v>83</v>
      </c>
      <c r="E150" s="18"/>
      <c r="F150" s="18"/>
      <c r="G150" s="19"/>
      <c r="H150" s="20"/>
      <c r="I150" s="36"/>
      <c r="J150" s="37"/>
      <c r="K150" s="18"/>
      <c r="L150" s="23" cm="1">
        <f t="array" ref="L150">_xlfn.IFERROR(VLOOKUP(D150,'Lookups'!$A$2:$C$17,2,FALSE),0)</f>
        <v>55</v>
      </c>
      <c r="M150" s="23">
        <v>1000</v>
      </c>
      <c r="N150" s="18"/>
      <c r="O150" s="23"/>
      <c r="P150" s="23" cm="1">
        <f t="array" ref="P150">N150*O150</f>
        <v>0</v>
      </c>
      <c r="Q150" s="24">
        <v>0</v>
      </c>
      <c r="R150" s="23" cm="1">
        <f t="array" ref="R150">(M150+P150)*(1+VALUE(SUBSTITUTE(Q150,"%",""))/100)</f>
        <v>1000</v>
      </c>
      <c r="S150" t="s" s="17">
        <v>31</v>
      </c>
    </row>
    <row r="151" ht="16" customHeight="1">
      <c r="A151" s="15">
        <v>12</v>
      </c>
      <c r="B151" t="s" s="16">
        <v>84</v>
      </c>
      <c r="C151" t="s" s="17">
        <v>26</v>
      </c>
      <c r="D151" t="s" s="16">
        <v>27</v>
      </c>
      <c r="E151" s="18"/>
      <c r="F151" s="18"/>
      <c r="G151" s="25"/>
      <c r="H151" s="4"/>
      <c r="I151" s="29"/>
      <c r="J151" s="30"/>
      <c r="K151" s="18"/>
      <c r="L151" s="23" cm="1">
        <f t="array" ref="L151">_xlfn.IFERROR(VLOOKUP(D151,'Lookups'!$A$2:$C$17,2,FALSE),0)</f>
        <v>45</v>
      </c>
      <c r="M151" s="23">
        <v>3000</v>
      </c>
      <c r="N151" s="18"/>
      <c r="O151" s="23"/>
      <c r="P151" s="23" cm="1">
        <f t="array" ref="P151">N151*O151</f>
        <v>0</v>
      </c>
      <c r="Q151" s="24">
        <v>0</v>
      </c>
      <c r="R151" s="23" cm="1">
        <f t="array" ref="R151">(M151+P151)*(1+VALUE(SUBSTITUTE(Q151,"%",""))/100)</f>
        <v>3000</v>
      </c>
      <c r="S151" t="s" s="17">
        <v>31</v>
      </c>
    </row>
    <row r="152" ht="16" customHeight="1">
      <c r="A152" s="15">
        <v>12</v>
      </c>
      <c r="B152" s="18"/>
      <c r="C152" s="28"/>
      <c r="D152" s="18"/>
      <c r="E152" s="18"/>
      <c r="F152" s="18"/>
      <c r="G152" s="25"/>
      <c r="H152" s="4"/>
      <c r="I152" s="29"/>
      <c r="J152" s="30"/>
      <c r="K152" s="18"/>
      <c r="L152" s="23" cm="1">
        <f t="array" ref="L152">_xlfn.IFERROR(VLOOKUP(D152,'Lookups'!$A$2:$C$17,2,FALSE),0)</f>
        <v>0</v>
      </c>
      <c r="M152" s="23" cm="1">
        <f t="array" ref="M152">K152*L152</f>
        <v>0</v>
      </c>
      <c r="N152" s="18"/>
      <c r="O152" s="23"/>
      <c r="P152" s="23" cm="1">
        <f t="array" ref="P152">N152*O152</f>
        <v>0</v>
      </c>
      <c r="Q152" t="s" s="17">
        <v>37</v>
      </c>
      <c r="R152" s="23" cm="1">
        <f t="array" ref="R152">(M152+P152)*(1+VALUE(SUBSTITUTE(Q152,"%",""))/100)</f>
        <v>0</v>
      </c>
      <c r="S152" t="s" s="17">
        <v>31</v>
      </c>
    </row>
    <row r="153" ht="16" customHeight="1">
      <c r="A153" s="15">
        <v>12</v>
      </c>
      <c r="B153" s="18"/>
      <c r="C153" s="28"/>
      <c r="D153" s="18"/>
      <c r="E153" s="18"/>
      <c r="F153" s="18"/>
      <c r="G153" s="25"/>
      <c r="H153" s="4"/>
      <c r="I153" s="29"/>
      <c r="J153" s="30"/>
      <c r="K153" s="18"/>
      <c r="L153" s="23" cm="1">
        <f t="array" ref="L153">_xlfn.IFERROR(VLOOKUP(D153,'Lookups'!$A$2:$C$17,2,FALSE),0)</f>
        <v>0</v>
      </c>
      <c r="M153" s="23" cm="1">
        <f t="array" ref="M153">K153*L153</f>
        <v>0</v>
      </c>
      <c r="N153" s="18"/>
      <c r="O153" s="23"/>
      <c r="P153" s="23" cm="1">
        <f t="array" ref="P153">N153*O153</f>
        <v>0</v>
      </c>
      <c r="Q153" t="s" s="17">
        <v>37</v>
      </c>
      <c r="R153" s="23" cm="1">
        <f t="array" ref="R153">(M153+P153)*(1+VALUE(SUBSTITUTE(Q153,"%",""))/100)</f>
        <v>0</v>
      </c>
      <c r="S153" t="s" s="17">
        <v>31</v>
      </c>
    </row>
    <row r="154" ht="16" customHeight="1">
      <c r="A154" s="15">
        <v>12</v>
      </c>
      <c r="B154" s="18"/>
      <c r="C154" s="28"/>
      <c r="D154" s="18"/>
      <c r="E154" s="18"/>
      <c r="F154" s="18"/>
      <c r="G154" s="25"/>
      <c r="H154" s="4"/>
      <c r="I154" s="29"/>
      <c r="J154" s="30"/>
      <c r="K154" s="18"/>
      <c r="L154" s="23" cm="1">
        <f t="array" ref="L154">_xlfn.IFERROR(VLOOKUP(D154,'Lookups'!$A$2:$C$17,2,FALSE),0)</f>
        <v>0</v>
      </c>
      <c r="M154" s="23" cm="1">
        <f t="array" ref="M154">K154*L154</f>
        <v>0</v>
      </c>
      <c r="N154" s="18"/>
      <c r="O154" s="23"/>
      <c r="P154" s="23" cm="1">
        <f t="array" ref="P154">N154*O154</f>
        <v>0</v>
      </c>
      <c r="Q154" t="s" s="17">
        <v>37</v>
      </c>
      <c r="R154" s="23" cm="1">
        <f t="array" ref="R154">(M154+P154)*(1+VALUE(SUBSTITUTE(Q154,"%",""))/100)</f>
        <v>0</v>
      </c>
      <c r="S154" t="s" s="17">
        <v>31</v>
      </c>
    </row>
    <row r="155" ht="16" customHeight="1">
      <c r="A155" s="15">
        <v>12</v>
      </c>
      <c r="B155" s="18"/>
      <c r="C155" s="28"/>
      <c r="D155" s="18"/>
      <c r="E155" s="18"/>
      <c r="F155" s="18"/>
      <c r="G155" s="25"/>
      <c r="H155" s="4"/>
      <c r="I155" s="29"/>
      <c r="J155" s="30"/>
      <c r="K155" s="18"/>
      <c r="L155" s="23" cm="1">
        <f t="array" ref="L155">_xlfn.IFERROR(VLOOKUP(D155,'Lookups'!$A$2:$C$17,2,FALSE),0)</f>
        <v>0</v>
      </c>
      <c r="M155" s="23" cm="1">
        <f t="array" ref="M155">K155*L155</f>
        <v>0</v>
      </c>
      <c r="N155" s="18"/>
      <c r="O155" s="23"/>
      <c r="P155" s="23" cm="1">
        <f t="array" ref="P155">N155*O155</f>
        <v>0</v>
      </c>
      <c r="Q155" t="s" s="17">
        <v>37</v>
      </c>
      <c r="R155" s="23" cm="1">
        <f t="array" ref="R155">(M155+P155)*(1+VALUE(SUBSTITUTE(Q155,"%",""))/100)</f>
        <v>0</v>
      </c>
      <c r="S155" t="s" s="17">
        <v>31</v>
      </c>
    </row>
    <row r="156" ht="16" customHeight="1">
      <c r="A156" s="15">
        <v>12</v>
      </c>
      <c r="B156" s="18"/>
      <c r="C156" s="28"/>
      <c r="D156" s="18"/>
      <c r="E156" s="18"/>
      <c r="F156" s="18"/>
      <c r="G156" s="25"/>
      <c r="H156" s="4"/>
      <c r="I156" s="29"/>
      <c r="J156" s="30"/>
      <c r="K156" s="18"/>
      <c r="L156" s="23" cm="1">
        <f t="array" ref="L156">_xlfn.IFERROR(VLOOKUP(D156,'Lookups'!$A$2:$C$17,2,FALSE),0)</f>
        <v>0</v>
      </c>
      <c r="M156" s="23" cm="1">
        <f t="array" ref="M156">K156*L156</f>
        <v>0</v>
      </c>
      <c r="N156" s="18"/>
      <c r="O156" s="23"/>
      <c r="P156" s="23" cm="1">
        <f t="array" ref="P156">N156*O156</f>
        <v>0</v>
      </c>
      <c r="Q156" t="s" s="17">
        <v>37</v>
      </c>
      <c r="R156" s="23" cm="1">
        <f t="array" ref="R156">(M156+P156)*(1+VALUE(SUBSTITUTE(Q156,"%",""))/100)</f>
        <v>0</v>
      </c>
      <c r="S156" t="s" s="17">
        <v>31</v>
      </c>
    </row>
    <row r="157" ht="16" customHeight="1">
      <c r="A157" s="15">
        <v>12</v>
      </c>
      <c r="B157" s="18"/>
      <c r="C157" s="28"/>
      <c r="D157" s="18"/>
      <c r="E157" s="18"/>
      <c r="F157" s="18"/>
      <c r="G157" s="25"/>
      <c r="H157" s="4"/>
      <c r="I157" s="29"/>
      <c r="J157" s="30"/>
      <c r="K157" s="18"/>
      <c r="L157" s="23" cm="1">
        <f t="array" ref="L157">_xlfn.IFERROR(VLOOKUP(D157,'Lookups'!$A$2:$C$17,2,FALSE),0)</f>
        <v>0</v>
      </c>
      <c r="M157" s="23" cm="1">
        <f t="array" ref="M157">K157*L157</f>
        <v>0</v>
      </c>
      <c r="N157" s="18"/>
      <c r="O157" s="23"/>
      <c r="P157" s="23" cm="1">
        <f t="array" ref="P157">N157*O157</f>
        <v>0</v>
      </c>
      <c r="Q157" t="s" s="17">
        <v>37</v>
      </c>
      <c r="R157" s="23" cm="1">
        <f t="array" ref="R157">(M157+P157)*(1+VALUE(SUBSTITUTE(Q157,"%",""))/100)</f>
        <v>0</v>
      </c>
      <c r="S157" t="s" s="17">
        <v>31</v>
      </c>
    </row>
    <row r="158" ht="16" customHeight="1">
      <c r="A158" s="15">
        <v>12</v>
      </c>
      <c r="B158" s="18"/>
      <c r="C158" s="28"/>
      <c r="D158" s="18"/>
      <c r="E158" s="18"/>
      <c r="F158" s="18"/>
      <c r="G158" s="25"/>
      <c r="H158" s="4"/>
      <c r="I158" s="29"/>
      <c r="J158" s="30"/>
      <c r="K158" s="18"/>
      <c r="L158" s="23" cm="1">
        <f t="array" ref="L158">_xlfn.IFERROR(VLOOKUP(D158,'Lookups'!$A$2:$C$17,2,FALSE),0)</f>
        <v>0</v>
      </c>
      <c r="M158" s="23" cm="1">
        <f t="array" ref="M158">K158*L158</f>
        <v>0</v>
      </c>
      <c r="N158" s="18"/>
      <c r="O158" s="23"/>
      <c r="P158" s="23" cm="1">
        <f t="array" ref="P158">N158*O158</f>
        <v>0</v>
      </c>
      <c r="Q158" t="s" s="17">
        <v>37</v>
      </c>
      <c r="R158" s="23" cm="1">
        <f t="array" ref="R158">(M158+P158)*(1+VALUE(SUBSTITUTE(Q158,"%",""))/100)</f>
        <v>0</v>
      </c>
      <c r="S158" t="s" s="17">
        <v>31</v>
      </c>
    </row>
    <row r="159" ht="16" customHeight="1">
      <c r="A159" s="15">
        <v>12</v>
      </c>
      <c r="B159" s="18"/>
      <c r="C159" s="28"/>
      <c r="D159" s="18"/>
      <c r="E159" s="18"/>
      <c r="F159" s="18"/>
      <c r="G159" s="25"/>
      <c r="H159" s="4"/>
      <c r="I159" s="29"/>
      <c r="J159" s="30"/>
      <c r="K159" s="18"/>
      <c r="L159" s="23" cm="1">
        <f t="array" ref="L159">_xlfn.IFERROR(VLOOKUP(D159,'Lookups'!$A$2:$C$17,2,FALSE),0)</f>
        <v>0</v>
      </c>
      <c r="M159" s="23" cm="1">
        <f t="array" ref="M159">K159*L159</f>
        <v>0</v>
      </c>
      <c r="N159" s="18"/>
      <c r="O159" s="23"/>
      <c r="P159" s="23" cm="1">
        <f t="array" ref="P159">N159*O159</f>
        <v>0</v>
      </c>
      <c r="Q159" t="s" s="17">
        <v>37</v>
      </c>
      <c r="R159" s="23" cm="1">
        <f t="array" ref="R159">(M159+P159)*(1+VALUE(SUBSTITUTE(Q159,"%",""))/100)</f>
        <v>0</v>
      </c>
      <c r="S159" t="s" s="17">
        <v>31</v>
      </c>
    </row>
    <row r="160" ht="16" customHeight="1">
      <c r="A160" s="15">
        <v>12</v>
      </c>
      <c r="B160" s="18"/>
      <c r="C160" s="28"/>
      <c r="D160" s="18"/>
      <c r="E160" s="18"/>
      <c r="F160" s="18"/>
      <c r="G160" s="25"/>
      <c r="H160" s="4"/>
      <c r="I160" s="29"/>
      <c r="J160" s="30"/>
      <c r="K160" s="18"/>
      <c r="L160" s="23" cm="1">
        <f t="array" ref="L160">_xlfn.IFERROR(VLOOKUP(D160,'Lookups'!$A$2:$C$17,2,FALSE),0)</f>
        <v>0</v>
      </c>
      <c r="M160" s="23" cm="1">
        <f t="array" ref="M160">K160*L160</f>
        <v>0</v>
      </c>
      <c r="N160" s="18"/>
      <c r="O160" s="23"/>
      <c r="P160" s="23" cm="1">
        <f t="array" ref="P160">N160*O160</f>
        <v>0</v>
      </c>
      <c r="Q160" t="s" s="17">
        <v>37</v>
      </c>
      <c r="R160" s="23" cm="1">
        <f t="array" ref="R160">(M160+P160)*(1+VALUE(SUBSTITUTE(Q160,"%",""))/100)</f>
        <v>0</v>
      </c>
      <c r="S160" t="s" s="17">
        <v>31</v>
      </c>
    </row>
    <row r="161" ht="16" customHeight="1">
      <c r="A161" s="15">
        <v>12</v>
      </c>
      <c r="B161" s="18"/>
      <c r="C161" s="28"/>
      <c r="D161" s="18"/>
      <c r="E161" s="18"/>
      <c r="F161" s="18"/>
      <c r="G161" s="31"/>
      <c r="H161" s="9"/>
      <c r="I161" s="32"/>
      <c r="J161" s="33"/>
      <c r="K161" s="18"/>
      <c r="L161" s="23" cm="1">
        <f t="array" ref="L161">_xlfn.IFERROR(VLOOKUP(D161,'Lookups'!$A$2:$C$17,2,FALSE),0)</f>
        <v>0</v>
      </c>
      <c r="M161" s="23" cm="1">
        <f t="array" ref="M161">K161*L161</f>
        <v>0</v>
      </c>
      <c r="N161" s="18"/>
      <c r="O161" s="23"/>
      <c r="P161" s="23" cm="1">
        <f t="array" ref="P161">N161*O161</f>
        <v>0</v>
      </c>
      <c r="Q161" t="s" s="17">
        <v>37</v>
      </c>
      <c r="R161" s="23" cm="1">
        <f t="array" ref="R161">(M161+P161)*(1+VALUE(SUBSTITUTE(Q161,"%",""))/100)</f>
        <v>0</v>
      </c>
      <c r="S161" t="s" s="17">
        <v>31</v>
      </c>
    </row>
    <row r="162" ht="16" customHeight="1">
      <c r="A162" t="s" s="11">
        <v>85</v>
      </c>
      <c r="B162" s="12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4"/>
      <c r="P162" s="12"/>
      <c r="Q162" s="13"/>
      <c r="R162" s="13"/>
      <c r="S162" s="14"/>
    </row>
    <row r="163" ht="16" customHeight="1">
      <c r="A163" s="15">
        <v>13</v>
      </c>
      <c r="B163" t="s" s="16">
        <v>25</v>
      </c>
      <c r="C163" t="s" s="17">
        <v>26</v>
      </c>
      <c r="D163" t="s" s="16">
        <v>27</v>
      </c>
      <c r="E163" s="18"/>
      <c r="F163" s="18"/>
      <c r="G163" s="19"/>
      <c r="H163" s="20"/>
      <c r="I163" s="36"/>
      <c r="J163" s="37"/>
      <c r="K163" s="18"/>
      <c r="L163" s="23" cm="1">
        <f t="array" ref="L163">_xlfn.IFERROR(VLOOKUP(D163,'Lookups'!$A$2:$C$17,2,FALSE),0)</f>
        <v>45</v>
      </c>
      <c r="M163" s="23">
        <v>300</v>
      </c>
      <c r="N163" s="18"/>
      <c r="O163" s="23"/>
      <c r="P163" s="23" cm="1">
        <f t="array" ref="P163">N163*O163</f>
        <v>0</v>
      </c>
      <c r="Q163" s="24">
        <v>0</v>
      </c>
      <c r="R163" s="23" cm="1">
        <f t="array" ref="R163">(M163+P163)*(1+VALUE(SUBSTITUTE(Q163,"%",""))/100)</f>
        <v>300</v>
      </c>
      <c r="S163" t="s" s="17">
        <v>31</v>
      </c>
    </row>
    <row r="164" ht="16" customHeight="1">
      <c r="A164" s="15">
        <v>13</v>
      </c>
      <c r="B164" t="s" s="16">
        <v>34</v>
      </c>
      <c r="C164" t="s" s="17">
        <v>26</v>
      </c>
      <c r="D164" t="s" s="16">
        <v>35</v>
      </c>
      <c r="E164" s="18"/>
      <c r="F164" s="18"/>
      <c r="G164" s="25"/>
      <c r="H164" s="4"/>
      <c r="I164" s="29"/>
      <c r="J164" s="30"/>
      <c r="K164" s="18"/>
      <c r="L164" s="23" cm="1">
        <f t="array" ref="L164">_xlfn.IFERROR(VLOOKUP(D164,'Lookups'!$A$2:$C$17,2,FALSE),0)</f>
        <v>0</v>
      </c>
      <c r="M164" s="23">
        <v>275</v>
      </c>
      <c r="N164" s="18"/>
      <c r="O164" s="23"/>
      <c r="P164" s="23" cm="1">
        <f t="array" ref="P164">N164*O164</f>
        <v>0</v>
      </c>
      <c r="Q164" s="24">
        <v>0</v>
      </c>
      <c r="R164" s="23" cm="1">
        <f t="array" ref="R164">(M164+P164)*(1+VALUE(SUBSTITUTE(Q164,"%",""))/100)</f>
        <v>275</v>
      </c>
      <c r="S164" t="s" s="17">
        <v>31</v>
      </c>
    </row>
    <row r="165" ht="16" customHeight="1">
      <c r="A165" s="15">
        <v>13</v>
      </c>
      <c r="B165" t="s" s="16">
        <v>84</v>
      </c>
      <c r="C165" t="s" s="17">
        <v>26</v>
      </c>
      <c r="D165" t="s" s="16">
        <v>27</v>
      </c>
      <c r="E165" s="18"/>
      <c r="F165" s="18"/>
      <c r="G165" s="25"/>
      <c r="H165" s="4"/>
      <c r="I165" s="29"/>
      <c r="J165" s="30"/>
      <c r="K165" s="18"/>
      <c r="L165" s="23" cm="1">
        <f t="array" ref="L165">_xlfn.IFERROR(VLOOKUP(D165,'Lookups'!$A$2:$C$17,2,FALSE),0)</f>
        <v>45</v>
      </c>
      <c r="M165" s="23">
        <v>2000</v>
      </c>
      <c r="N165" s="18"/>
      <c r="O165" s="23"/>
      <c r="P165" s="23" cm="1">
        <f t="array" ref="P165">N165*O165</f>
        <v>0</v>
      </c>
      <c r="Q165" s="24">
        <v>0</v>
      </c>
      <c r="R165" s="23" cm="1">
        <f t="array" ref="R165">(M165+P165)*(1+VALUE(SUBSTITUTE(Q165,"%",""))/100)</f>
        <v>2000</v>
      </c>
      <c r="S165" t="s" s="17">
        <v>31</v>
      </c>
    </row>
    <row r="166" ht="16" customHeight="1">
      <c r="A166" s="15">
        <v>13</v>
      </c>
      <c r="B166" s="18"/>
      <c r="C166" s="28"/>
      <c r="D166" s="18"/>
      <c r="E166" s="18"/>
      <c r="F166" s="18"/>
      <c r="G166" s="25"/>
      <c r="H166" s="4"/>
      <c r="I166" s="29"/>
      <c r="J166" s="30"/>
      <c r="K166" s="18"/>
      <c r="L166" s="23" cm="1">
        <f t="array" ref="L166">_xlfn.IFERROR(VLOOKUP(D166,'Lookups'!$A$2:$C$17,2,FALSE),0)</f>
        <v>0</v>
      </c>
      <c r="M166" s="23" cm="1">
        <f t="array" ref="M166">K166*L166</f>
        <v>0</v>
      </c>
      <c r="N166" s="18"/>
      <c r="O166" s="23"/>
      <c r="P166" s="23" cm="1">
        <f t="array" ref="P166">N166*O166</f>
        <v>0</v>
      </c>
      <c r="Q166" t="s" s="17">
        <v>37</v>
      </c>
      <c r="R166" s="23" cm="1">
        <f t="array" ref="R166">(M166+P166)*(1+VALUE(SUBSTITUTE(Q166,"%",""))/100)</f>
        <v>0</v>
      </c>
      <c r="S166" t="s" s="17">
        <v>31</v>
      </c>
    </row>
    <row r="167" ht="16" customHeight="1">
      <c r="A167" s="15">
        <v>13</v>
      </c>
      <c r="B167" s="18"/>
      <c r="C167" s="28"/>
      <c r="D167" s="18"/>
      <c r="E167" s="18"/>
      <c r="F167" s="18"/>
      <c r="G167" s="25"/>
      <c r="H167" s="4"/>
      <c r="I167" s="29"/>
      <c r="J167" s="30"/>
      <c r="K167" s="18"/>
      <c r="L167" s="23" cm="1">
        <f t="array" ref="L167">_xlfn.IFERROR(VLOOKUP(D167,'Lookups'!$A$2:$C$17,2,FALSE),0)</f>
        <v>0</v>
      </c>
      <c r="M167" s="23" cm="1">
        <f t="array" ref="M167">K167*L167</f>
        <v>0</v>
      </c>
      <c r="N167" s="18"/>
      <c r="O167" s="23"/>
      <c r="P167" s="23" cm="1">
        <f t="array" ref="P167">N167*O167</f>
        <v>0</v>
      </c>
      <c r="Q167" t="s" s="17">
        <v>37</v>
      </c>
      <c r="R167" s="23" cm="1">
        <f t="array" ref="R167">(M167+P167)*(1+VALUE(SUBSTITUTE(Q167,"%",""))/100)</f>
        <v>0</v>
      </c>
      <c r="S167" t="s" s="17">
        <v>31</v>
      </c>
    </row>
    <row r="168" ht="16" customHeight="1">
      <c r="A168" s="15">
        <v>13</v>
      </c>
      <c r="B168" s="18"/>
      <c r="C168" s="28"/>
      <c r="D168" s="18"/>
      <c r="E168" s="18"/>
      <c r="F168" s="18"/>
      <c r="G168" s="25"/>
      <c r="H168" s="4"/>
      <c r="I168" s="29"/>
      <c r="J168" s="30"/>
      <c r="K168" s="18"/>
      <c r="L168" s="23" cm="1">
        <f t="array" ref="L168">_xlfn.IFERROR(VLOOKUP(D168,'Lookups'!$A$2:$C$17,2,FALSE),0)</f>
        <v>0</v>
      </c>
      <c r="M168" s="23" cm="1">
        <f t="array" ref="M168">K168*L168</f>
        <v>0</v>
      </c>
      <c r="N168" s="18"/>
      <c r="O168" s="23"/>
      <c r="P168" s="23" cm="1">
        <f t="array" ref="P168">N168*O168</f>
        <v>0</v>
      </c>
      <c r="Q168" t="s" s="17">
        <v>44</v>
      </c>
      <c r="R168" s="23" cm="1">
        <f t="array" ref="R168">(M168+P168)*(1+VALUE(SUBSTITUTE(Q168,"%",""))/100)</f>
        <v>0</v>
      </c>
      <c r="S168" t="s" s="17">
        <v>31</v>
      </c>
    </row>
    <row r="169" ht="16" customHeight="1">
      <c r="A169" s="15">
        <v>13</v>
      </c>
      <c r="B169" s="18"/>
      <c r="C169" s="28"/>
      <c r="D169" s="18"/>
      <c r="E169" s="18"/>
      <c r="F169" s="18"/>
      <c r="G169" s="25"/>
      <c r="H169" s="4"/>
      <c r="I169" s="29"/>
      <c r="J169" s="30"/>
      <c r="K169" s="18"/>
      <c r="L169" s="23" cm="1">
        <f t="array" ref="L169">_xlfn.IFERROR(VLOOKUP(D169,'Lookups'!$A$2:$C$17,2,FALSE),0)</f>
        <v>0</v>
      </c>
      <c r="M169" s="23" cm="1">
        <f t="array" ref="M169">K169*L169</f>
        <v>0</v>
      </c>
      <c r="N169" s="18"/>
      <c r="O169" s="23"/>
      <c r="P169" s="23" cm="1">
        <f t="array" ref="P169">N169*O169</f>
        <v>0</v>
      </c>
      <c r="Q169" t="s" s="17">
        <v>37</v>
      </c>
      <c r="R169" s="23" cm="1">
        <f t="array" ref="R169">(M169+P169)*(1+VALUE(SUBSTITUTE(Q169,"%",""))/100)</f>
        <v>0</v>
      </c>
      <c r="S169" t="s" s="17">
        <v>31</v>
      </c>
    </row>
    <row r="170" ht="16" customHeight="1">
      <c r="A170" s="15">
        <v>13</v>
      </c>
      <c r="B170" s="18"/>
      <c r="C170" s="28"/>
      <c r="D170" s="18"/>
      <c r="E170" s="18"/>
      <c r="F170" s="18"/>
      <c r="G170" s="25"/>
      <c r="H170" s="4"/>
      <c r="I170" s="29"/>
      <c r="J170" s="30"/>
      <c r="K170" s="18"/>
      <c r="L170" s="23" cm="1">
        <f t="array" ref="L170">_xlfn.IFERROR(VLOOKUP(D170,'Lookups'!$A$2:$C$17,2,FALSE),0)</f>
        <v>0</v>
      </c>
      <c r="M170" s="23" cm="1">
        <f t="array" ref="M170">K170*L170</f>
        <v>0</v>
      </c>
      <c r="N170" s="18"/>
      <c r="O170" s="23"/>
      <c r="P170" s="23" cm="1">
        <f t="array" ref="P170">N170*O170</f>
        <v>0</v>
      </c>
      <c r="Q170" t="s" s="17">
        <v>37</v>
      </c>
      <c r="R170" s="23" cm="1">
        <f t="array" ref="R170">(M170+P170)*(1+VALUE(SUBSTITUTE(Q170,"%",""))/100)</f>
        <v>0</v>
      </c>
      <c r="S170" t="s" s="17">
        <v>31</v>
      </c>
    </row>
    <row r="171" ht="16" customHeight="1">
      <c r="A171" s="15">
        <v>13</v>
      </c>
      <c r="B171" s="18"/>
      <c r="C171" s="28"/>
      <c r="D171" s="18"/>
      <c r="E171" s="18"/>
      <c r="F171" s="18"/>
      <c r="G171" s="25"/>
      <c r="H171" s="4"/>
      <c r="I171" s="29"/>
      <c r="J171" s="30"/>
      <c r="K171" s="18"/>
      <c r="L171" s="23" cm="1">
        <f t="array" ref="L171">_xlfn.IFERROR(VLOOKUP(D171,'Lookups'!$A$2:$C$17,2,FALSE),0)</f>
        <v>0</v>
      </c>
      <c r="M171" s="23" cm="1">
        <f t="array" ref="M171">K171*L171</f>
        <v>0</v>
      </c>
      <c r="N171" s="18"/>
      <c r="O171" s="23"/>
      <c r="P171" s="23" cm="1">
        <f t="array" ref="P171">N171*O171</f>
        <v>0</v>
      </c>
      <c r="Q171" t="s" s="17">
        <v>37</v>
      </c>
      <c r="R171" s="23" cm="1">
        <f t="array" ref="R171">(M171+P171)*(1+VALUE(SUBSTITUTE(Q171,"%",""))/100)</f>
        <v>0</v>
      </c>
      <c r="S171" t="s" s="17">
        <v>31</v>
      </c>
    </row>
    <row r="172" ht="16" customHeight="1">
      <c r="A172" s="15">
        <v>13</v>
      </c>
      <c r="B172" s="18"/>
      <c r="C172" s="28"/>
      <c r="D172" s="18"/>
      <c r="E172" s="18"/>
      <c r="F172" s="18"/>
      <c r="G172" s="25"/>
      <c r="H172" s="4"/>
      <c r="I172" s="29"/>
      <c r="J172" s="30"/>
      <c r="K172" s="18"/>
      <c r="L172" s="23" cm="1">
        <f t="array" ref="L172">_xlfn.IFERROR(VLOOKUP(D172,'Lookups'!$A$2:$C$17,2,FALSE),0)</f>
        <v>0</v>
      </c>
      <c r="M172" s="23" cm="1">
        <f t="array" ref="M172">K172*L172</f>
        <v>0</v>
      </c>
      <c r="N172" s="18"/>
      <c r="O172" s="23"/>
      <c r="P172" s="23" cm="1">
        <f t="array" ref="P172">N172*O172</f>
        <v>0</v>
      </c>
      <c r="Q172" t="s" s="17">
        <v>37</v>
      </c>
      <c r="R172" s="23" cm="1">
        <f t="array" ref="R172">(M172+P172)*(1+VALUE(SUBSTITUTE(Q172,"%",""))/100)</f>
        <v>0</v>
      </c>
      <c r="S172" t="s" s="17">
        <v>31</v>
      </c>
    </row>
    <row r="173" ht="16" customHeight="1">
      <c r="A173" s="15">
        <v>13</v>
      </c>
      <c r="B173" s="18"/>
      <c r="C173" s="28"/>
      <c r="D173" s="18"/>
      <c r="E173" s="18"/>
      <c r="F173" s="18"/>
      <c r="G173" s="25"/>
      <c r="H173" s="4"/>
      <c r="I173" s="29"/>
      <c r="J173" s="30"/>
      <c r="K173" s="18"/>
      <c r="L173" s="23" cm="1">
        <f t="array" ref="L173">_xlfn.IFERROR(VLOOKUP(D173,'Lookups'!$A$2:$C$17,2,FALSE),0)</f>
        <v>0</v>
      </c>
      <c r="M173" s="23" cm="1">
        <f t="array" ref="M173">K173*L173</f>
        <v>0</v>
      </c>
      <c r="N173" s="18"/>
      <c r="O173" s="23"/>
      <c r="P173" s="23" cm="1">
        <f t="array" ref="P173">N173*O173</f>
        <v>0</v>
      </c>
      <c r="Q173" t="s" s="17">
        <v>37</v>
      </c>
      <c r="R173" s="23" cm="1">
        <f t="array" ref="R173">(M173+P173)*(1+VALUE(SUBSTITUTE(Q173,"%",""))/100)</f>
        <v>0</v>
      </c>
      <c r="S173" t="s" s="17">
        <v>31</v>
      </c>
    </row>
    <row r="174" ht="16" customHeight="1">
      <c r="A174" s="15">
        <v>13</v>
      </c>
      <c r="B174" s="18"/>
      <c r="C174" s="28"/>
      <c r="D174" s="18"/>
      <c r="E174" s="18"/>
      <c r="F174" s="18"/>
      <c r="G174" s="31"/>
      <c r="H174" s="9"/>
      <c r="I174" s="32"/>
      <c r="J174" s="33"/>
      <c r="K174" s="18"/>
      <c r="L174" s="23" cm="1">
        <f t="array" ref="L174">_xlfn.IFERROR(VLOOKUP(D174,'Lookups'!$A$2:$C$17,2,FALSE),0)</f>
        <v>0</v>
      </c>
      <c r="M174" s="23" cm="1">
        <f t="array" ref="M174">K174*L174</f>
        <v>0</v>
      </c>
      <c r="N174" s="18"/>
      <c r="O174" s="23"/>
      <c r="P174" s="23" cm="1">
        <f t="array" ref="P174">N174*O174</f>
        <v>0</v>
      </c>
      <c r="Q174" t="s" s="17">
        <v>37</v>
      </c>
      <c r="R174" s="23" cm="1">
        <f t="array" ref="R174">(M174+P174)*(1+VALUE(SUBSTITUTE(Q174,"%",""))/100)</f>
        <v>0</v>
      </c>
      <c r="S174" t="s" s="17">
        <v>31</v>
      </c>
    </row>
    <row r="175" ht="16" customHeight="1">
      <c r="A175" t="s" s="11">
        <v>86</v>
      </c>
      <c r="B175" s="12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4"/>
      <c r="P175" s="12"/>
      <c r="Q175" s="13"/>
      <c r="R175" s="13"/>
      <c r="S175" s="14"/>
    </row>
    <row r="176" ht="16" customHeight="1">
      <c r="A176" s="15">
        <v>14</v>
      </c>
      <c r="B176" t="s" s="16">
        <v>84</v>
      </c>
      <c r="C176" s="28"/>
      <c r="D176" s="18"/>
      <c r="E176" s="18"/>
      <c r="F176" s="18"/>
      <c r="G176" s="19"/>
      <c r="H176" s="20"/>
      <c r="I176" s="36"/>
      <c r="J176" s="37"/>
      <c r="K176" s="18"/>
      <c r="L176" s="23" cm="1">
        <f t="array" ref="L176">_xlfn.IFERROR(VLOOKUP(D176,'Lookups'!$A$2:$C$17,2,FALSE),0)</f>
        <v>0</v>
      </c>
      <c r="M176" s="23">
        <v>2520</v>
      </c>
      <c r="N176" s="18"/>
      <c r="O176" s="23"/>
      <c r="P176" s="23" cm="1">
        <f t="array" ref="P176">N176*O176</f>
        <v>0</v>
      </c>
      <c r="Q176" s="24">
        <v>0</v>
      </c>
      <c r="R176" s="23" cm="1">
        <f t="array" ref="R176">(M176+P176)*(1+VALUE(SUBSTITUTE(Q176,"%",""))/100)</f>
        <v>2520</v>
      </c>
      <c r="S176" t="s" s="17">
        <v>31</v>
      </c>
    </row>
    <row r="177" ht="16" customHeight="1">
      <c r="A177" s="15">
        <v>14</v>
      </c>
      <c r="B177" s="18"/>
      <c r="C177" s="28"/>
      <c r="D177" s="18"/>
      <c r="E177" s="18"/>
      <c r="F177" s="18"/>
      <c r="G177" s="25"/>
      <c r="H177" s="4"/>
      <c r="I177" s="29"/>
      <c r="J177" s="30"/>
      <c r="K177" s="18"/>
      <c r="L177" s="23" cm="1">
        <f t="array" ref="L177">_xlfn.IFERROR(VLOOKUP(D177,'Lookups'!$A$2:$C$17,2,FALSE),0)</f>
        <v>0</v>
      </c>
      <c r="M177" s="23" cm="1">
        <f t="array" ref="M177">K177*L177</f>
        <v>0</v>
      </c>
      <c r="N177" s="18"/>
      <c r="O177" s="23"/>
      <c r="P177" s="23" cm="1">
        <f t="array" ref="P177">N177*O177</f>
        <v>0</v>
      </c>
      <c r="Q177" t="s" s="17">
        <v>37</v>
      </c>
      <c r="R177" s="23" cm="1">
        <f t="array" ref="R177">(M177+P177)*(1+VALUE(SUBSTITUTE(Q177,"%",""))/100)</f>
        <v>0</v>
      </c>
      <c r="S177" t="s" s="17">
        <v>31</v>
      </c>
    </row>
    <row r="178" ht="16" customHeight="1">
      <c r="A178" s="15">
        <v>14</v>
      </c>
      <c r="B178" s="18"/>
      <c r="C178" s="28"/>
      <c r="D178" s="18"/>
      <c r="E178" s="18"/>
      <c r="F178" s="18"/>
      <c r="G178" s="25"/>
      <c r="H178" s="4"/>
      <c r="I178" s="29"/>
      <c r="J178" s="30"/>
      <c r="K178" s="18"/>
      <c r="L178" s="23" cm="1">
        <f t="array" ref="L178">_xlfn.IFERROR(VLOOKUP(D178,'Lookups'!$A$2:$C$17,2,FALSE),0)</f>
        <v>0</v>
      </c>
      <c r="M178" s="23" cm="1">
        <f t="array" ref="M178">K178*L178</f>
        <v>0</v>
      </c>
      <c r="N178" s="18"/>
      <c r="O178" s="23"/>
      <c r="P178" s="23" cm="1">
        <f t="array" ref="P178">N178*O178</f>
        <v>0</v>
      </c>
      <c r="Q178" t="s" s="17">
        <v>37</v>
      </c>
      <c r="R178" s="23" cm="1">
        <f t="array" ref="R178">(M178+P178)*(1+VALUE(SUBSTITUTE(Q178,"%",""))/100)</f>
        <v>0</v>
      </c>
      <c r="S178" t="s" s="17">
        <v>31</v>
      </c>
    </row>
    <row r="179" ht="16" customHeight="1">
      <c r="A179" s="15">
        <v>14</v>
      </c>
      <c r="B179" s="18"/>
      <c r="C179" s="28"/>
      <c r="D179" s="18"/>
      <c r="E179" s="18"/>
      <c r="F179" s="18"/>
      <c r="G179" s="25"/>
      <c r="H179" s="4"/>
      <c r="I179" s="29"/>
      <c r="J179" s="30"/>
      <c r="K179" s="18"/>
      <c r="L179" s="23" cm="1">
        <f t="array" ref="L179">_xlfn.IFERROR(VLOOKUP(D179,'Lookups'!$A$2:$C$17,2,FALSE),0)</f>
        <v>0</v>
      </c>
      <c r="M179" s="23" cm="1">
        <f t="array" ref="M179">K179*L179</f>
        <v>0</v>
      </c>
      <c r="N179" s="18"/>
      <c r="O179" s="23"/>
      <c r="P179" s="23" cm="1">
        <f t="array" ref="P179">N179*O179</f>
        <v>0</v>
      </c>
      <c r="Q179" t="s" s="17">
        <v>37</v>
      </c>
      <c r="R179" s="23" cm="1">
        <f t="array" ref="R179">(M179+P179)*(1+VALUE(SUBSTITUTE(Q179,"%",""))/100)</f>
        <v>0</v>
      </c>
      <c r="S179" t="s" s="17">
        <v>31</v>
      </c>
    </row>
    <row r="180" ht="16" customHeight="1">
      <c r="A180" s="15">
        <v>14</v>
      </c>
      <c r="B180" s="18"/>
      <c r="C180" s="28"/>
      <c r="D180" s="18"/>
      <c r="E180" s="18"/>
      <c r="F180" s="18"/>
      <c r="G180" s="25"/>
      <c r="H180" s="4"/>
      <c r="I180" s="29"/>
      <c r="J180" s="30"/>
      <c r="K180" s="18"/>
      <c r="L180" s="23" cm="1">
        <f t="array" ref="L180">_xlfn.IFERROR(VLOOKUP(D180,'Lookups'!$A$2:$C$17,2,FALSE),0)</f>
        <v>0</v>
      </c>
      <c r="M180" s="23" cm="1">
        <f t="array" ref="M180">K180*L180</f>
        <v>0</v>
      </c>
      <c r="N180" s="18"/>
      <c r="O180" s="23"/>
      <c r="P180" s="23" cm="1">
        <f t="array" ref="P180">N180*O180</f>
        <v>0</v>
      </c>
      <c r="Q180" t="s" s="17">
        <v>37</v>
      </c>
      <c r="R180" s="23" cm="1">
        <f t="array" ref="R180">(M180+P180)*(1+VALUE(SUBSTITUTE(Q180,"%",""))/100)</f>
        <v>0</v>
      </c>
      <c r="S180" t="s" s="17">
        <v>31</v>
      </c>
    </row>
    <row r="181" ht="16" customHeight="1">
      <c r="A181" s="15">
        <v>14</v>
      </c>
      <c r="B181" s="18"/>
      <c r="C181" s="28"/>
      <c r="D181" s="18"/>
      <c r="E181" s="18"/>
      <c r="F181" s="18"/>
      <c r="G181" s="25"/>
      <c r="H181" s="4"/>
      <c r="I181" s="29"/>
      <c r="J181" s="30"/>
      <c r="K181" s="18"/>
      <c r="L181" s="23" cm="1">
        <f t="array" ref="L181">_xlfn.IFERROR(VLOOKUP(D181,'Lookups'!$A$2:$C$17,2,FALSE),0)</f>
        <v>0</v>
      </c>
      <c r="M181" s="23" cm="1">
        <f t="array" ref="M181">K181*L181</f>
        <v>0</v>
      </c>
      <c r="N181" s="18"/>
      <c r="O181" s="23"/>
      <c r="P181" s="23" cm="1">
        <f t="array" ref="P181">N181*O181</f>
        <v>0</v>
      </c>
      <c r="Q181" t="s" s="17">
        <v>37</v>
      </c>
      <c r="R181" s="23" cm="1">
        <f t="array" ref="R181">(M181+P181)*(1+VALUE(SUBSTITUTE(Q181,"%",""))/100)</f>
        <v>0</v>
      </c>
      <c r="S181" t="s" s="17">
        <v>31</v>
      </c>
    </row>
    <row r="182" ht="16" customHeight="1">
      <c r="A182" s="15">
        <v>14</v>
      </c>
      <c r="B182" s="18"/>
      <c r="C182" s="28"/>
      <c r="D182" s="18"/>
      <c r="E182" s="18"/>
      <c r="F182" s="18"/>
      <c r="G182" s="25"/>
      <c r="H182" s="4"/>
      <c r="I182" s="29"/>
      <c r="J182" s="30"/>
      <c r="K182" s="18"/>
      <c r="L182" s="23" cm="1">
        <f t="array" ref="L182">_xlfn.IFERROR(VLOOKUP(D182,'Lookups'!$A$2:$C$17,2,FALSE),0)</f>
        <v>0</v>
      </c>
      <c r="M182" s="23" cm="1">
        <f t="array" ref="M182">K182*L182</f>
        <v>0</v>
      </c>
      <c r="N182" s="18"/>
      <c r="O182" s="23"/>
      <c r="P182" s="23" cm="1">
        <f t="array" ref="P182">N182*O182</f>
        <v>0</v>
      </c>
      <c r="Q182" t="s" s="17">
        <v>37</v>
      </c>
      <c r="R182" s="23" cm="1">
        <f t="array" ref="R182">(M182+P182)*(1+VALUE(SUBSTITUTE(Q182,"%",""))/100)</f>
        <v>0</v>
      </c>
      <c r="S182" t="s" s="17">
        <v>31</v>
      </c>
    </row>
    <row r="183" ht="16" customHeight="1">
      <c r="A183" s="15">
        <v>14</v>
      </c>
      <c r="B183" s="18"/>
      <c r="C183" s="28"/>
      <c r="D183" s="18"/>
      <c r="E183" s="18"/>
      <c r="F183" s="18"/>
      <c r="G183" s="25"/>
      <c r="H183" s="4"/>
      <c r="I183" s="29"/>
      <c r="J183" s="30"/>
      <c r="K183" s="18"/>
      <c r="L183" s="23" cm="1">
        <f t="array" ref="L183">_xlfn.IFERROR(VLOOKUP(D183,'Lookups'!$A$2:$C$17,2,FALSE),0)</f>
        <v>0</v>
      </c>
      <c r="M183" s="23" cm="1">
        <f t="array" ref="M183">K183*L183</f>
        <v>0</v>
      </c>
      <c r="N183" s="18"/>
      <c r="O183" s="23"/>
      <c r="P183" s="23" cm="1">
        <f t="array" ref="P183">N183*O183</f>
        <v>0</v>
      </c>
      <c r="Q183" t="s" s="17">
        <v>37</v>
      </c>
      <c r="R183" s="23" cm="1">
        <f t="array" ref="R183">(M183+P183)*(1+VALUE(SUBSTITUTE(Q183,"%",""))/100)</f>
        <v>0</v>
      </c>
      <c r="S183" t="s" s="17">
        <v>31</v>
      </c>
    </row>
    <row r="184" ht="16" customHeight="1">
      <c r="A184" s="15">
        <v>14</v>
      </c>
      <c r="B184" s="18"/>
      <c r="C184" s="28"/>
      <c r="D184" s="18"/>
      <c r="E184" s="18"/>
      <c r="F184" s="18"/>
      <c r="G184" s="25"/>
      <c r="H184" s="4"/>
      <c r="I184" s="29"/>
      <c r="J184" s="30"/>
      <c r="K184" s="18"/>
      <c r="L184" s="23" cm="1">
        <f t="array" ref="L184">_xlfn.IFERROR(VLOOKUP(D184,'Lookups'!$A$2:$C$17,2,FALSE),0)</f>
        <v>0</v>
      </c>
      <c r="M184" s="23" cm="1">
        <f t="array" ref="M184">K184*L184</f>
        <v>0</v>
      </c>
      <c r="N184" s="18"/>
      <c r="O184" s="23"/>
      <c r="P184" s="23" cm="1">
        <f t="array" ref="P184">N184*O184</f>
        <v>0</v>
      </c>
      <c r="Q184" t="s" s="17">
        <v>37</v>
      </c>
      <c r="R184" s="23" cm="1">
        <f t="array" ref="R184">(M184+P184)*(1+VALUE(SUBSTITUTE(Q184,"%",""))/100)</f>
        <v>0</v>
      </c>
      <c r="S184" t="s" s="17">
        <v>31</v>
      </c>
    </row>
    <row r="185" ht="16" customHeight="1">
      <c r="A185" s="15">
        <v>14</v>
      </c>
      <c r="B185" s="18"/>
      <c r="C185" s="28"/>
      <c r="D185" s="18"/>
      <c r="E185" s="18"/>
      <c r="F185" s="18"/>
      <c r="G185" s="25"/>
      <c r="H185" s="4"/>
      <c r="I185" s="29"/>
      <c r="J185" s="30"/>
      <c r="K185" s="18"/>
      <c r="L185" s="23" cm="1">
        <f t="array" ref="L185">_xlfn.IFERROR(VLOOKUP(D185,'Lookups'!$A$2:$C$17,2,FALSE),0)</f>
        <v>0</v>
      </c>
      <c r="M185" s="23" cm="1">
        <f t="array" ref="M185">K185*L185</f>
        <v>0</v>
      </c>
      <c r="N185" s="18"/>
      <c r="O185" s="23"/>
      <c r="P185" s="23" cm="1">
        <f t="array" ref="P185">N185*O185</f>
        <v>0</v>
      </c>
      <c r="Q185" t="s" s="17">
        <v>37</v>
      </c>
      <c r="R185" s="23" cm="1">
        <f t="array" ref="R185">(M185+P185)*(1+VALUE(SUBSTITUTE(Q185,"%",""))/100)</f>
        <v>0</v>
      </c>
      <c r="S185" t="s" s="17">
        <v>31</v>
      </c>
    </row>
    <row r="186" ht="16" customHeight="1">
      <c r="A186" s="15">
        <v>14</v>
      </c>
      <c r="B186" s="18"/>
      <c r="C186" s="28"/>
      <c r="D186" s="18"/>
      <c r="E186" s="18"/>
      <c r="F186" s="18"/>
      <c r="G186" s="25"/>
      <c r="H186" s="4"/>
      <c r="I186" s="29"/>
      <c r="J186" s="30"/>
      <c r="K186" s="18"/>
      <c r="L186" s="23" cm="1">
        <f t="array" ref="L186">_xlfn.IFERROR(VLOOKUP(D186,'Lookups'!$A$2:$C$17,2,FALSE),0)</f>
        <v>0</v>
      </c>
      <c r="M186" s="23" cm="1">
        <f t="array" ref="M186">K186*L186</f>
        <v>0</v>
      </c>
      <c r="N186" s="18"/>
      <c r="O186" s="23"/>
      <c r="P186" s="23" cm="1">
        <f t="array" ref="P186">N186*O186</f>
        <v>0</v>
      </c>
      <c r="Q186" t="s" s="17">
        <v>37</v>
      </c>
      <c r="R186" s="23" cm="1">
        <f t="array" ref="R186">(M186+P186)*(1+VALUE(SUBSTITUTE(Q186,"%",""))/100)</f>
        <v>0</v>
      </c>
      <c r="S186" t="s" s="17">
        <v>31</v>
      </c>
    </row>
    <row r="187" ht="16" customHeight="1">
      <c r="A187" s="15">
        <v>14</v>
      </c>
      <c r="B187" s="18"/>
      <c r="C187" s="28"/>
      <c r="D187" s="18"/>
      <c r="E187" s="18"/>
      <c r="F187" s="18"/>
      <c r="G187" s="31"/>
      <c r="H187" s="9"/>
      <c r="I187" s="32"/>
      <c r="J187" s="33"/>
      <c r="K187" s="18"/>
      <c r="L187" s="23" cm="1">
        <f t="array" ref="L187">_xlfn.IFERROR(VLOOKUP(D187,'Lookups'!$A$2:$C$17,2,FALSE),0)</f>
        <v>0</v>
      </c>
      <c r="M187" s="23" cm="1">
        <f t="array" ref="M187">K187*L187</f>
        <v>0</v>
      </c>
      <c r="N187" s="18"/>
      <c r="O187" s="23"/>
      <c r="P187" s="23" cm="1">
        <f t="array" ref="P187">N187*O187</f>
        <v>0</v>
      </c>
      <c r="Q187" t="s" s="17">
        <v>37</v>
      </c>
      <c r="R187" s="23" cm="1">
        <f t="array" ref="R187">(M187+P187)*(1+VALUE(SUBSTITUTE(Q187,"%",""))/100)</f>
        <v>0</v>
      </c>
      <c r="S187" t="s" s="17">
        <v>31</v>
      </c>
    </row>
    <row r="188" ht="16" customHeight="1">
      <c r="A188" t="s" s="11">
        <v>87</v>
      </c>
      <c r="B188" s="12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4"/>
      <c r="P188" s="12"/>
      <c r="Q188" s="13"/>
      <c r="R188" s="13"/>
      <c r="S188" s="14"/>
    </row>
    <row r="189" ht="16" customHeight="1">
      <c r="A189" s="15">
        <v>15</v>
      </c>
      <c r="B189" t="s" s="16">
        <v>84</v>
      </c>
      <c r="C189" t="s" s="17">
        <v>26</v>
      </c>
      <c r="D189" t="s" s="16">
        <v>27</v>
      </c>
      <c r="E189" s="18"/>
      <c r="F189" s="18"/>
      <c r="G189" s="19"/>
      <c r="H189" s="20"/>
      <c r="I189" s="36"/>
      <c r="J189" s="37"/>
      <c r="K189" s="18"/>
      <c r="L189" s="23" cm="1">
        <f t="array" ref="L189">_xlfn.IFERROR(VLOOKUP(D189,'Lookups'!$A$2:$C$17,2,FALSE),0)</f>
        <v>45</v>
      </c>
      <c r="M189" s="23">
        <v>2520</v>
      </c>
      <c r="N189" s="18"/>
      <c r="O189" s="23"/>
      <c r="P189" s="23" cm="1">
        <f t="array" ref="P189">N189*O189</f>
        <v>0</v>
      </c>
      <c r="Q189" s="24">
        <v>0</v>
      </c>
      <c r="R189" s="23" cm="1">
        <f t="array" ref="R189">(M189+P189)*(1+VALUE(SUBSTITUTE(Q189,"%",""))/100)</f>
        <v>2520</v>
      </c>
      <c r="S189" t="s" s="17">
        <v>31</v>
      </c>
    </row>
    <row r="190" ht="16" customHeight="1">
      <c r="A190" s="15">
        <v>15</v>
      </c>
      <c r="B190" t="s" s="16">
        <v>88</v>
      </c>
      <c r="C190" t="s" s="17">
        <v>54</v>
      </c>
      <c r="D190" t="s" s="16">
        <v>55</v>
      </c>
      <c r="E190" s="18"/>
      <c r="F190" s="18"/>
      <c r="G190" s="25"/>
      <c r="H190" s="4"/>
      <c r="I190" s="29"/>
      <c r="J190" s="30"/>
      <c r="K190" s="18"/>
      <c r="L190" s="23" cm="1">
        <f t="array" ref="L190">_xlfn.IFERROR(VLOOKUP(D190,'Lookups'!$A$2:$C$17,2,FALSE),0)</f>
        <v>50</v>
      </c>
      <c r="M190" s="23">
        <v>4477.84</v>
      </c>
      <c r="N190" s="18"/>
      <c r="O190" s="23"/>
      <c r="P190" s="23" cm="1">
        <f t="array" ref="P190">N190*O190</f>
        <v>0</v>
      </c>
      <c r="Q190" t="s" s="17">
        <v>37</v>
      </c>
      <c r="R190" s="23" cm="1">
        <f t="array" ref="R190">(M190+P190)*(1+VALUE(SUBSTITUTE(Q190,"%",""))/100)</f>
        <v>5373.408</v>
      </c>
      <c r="S190" t="s" s="17">
        <v>31</v>
      </c>
    </row>
    <row r="191" ht="16" customHeight="1">
      <c r="A191" s="15">
        <v>15</v>
      </c>
      <c r="B191" s="18"/>
      <c r="C191" s="28"/>
      <c r="D191" s="18"/>
      <c r="E191" s="18"/>
      <c r="F191" s="18"/>
      <c r="G191" s="25"/>
      <c r="H191" s="4"/>
      <c r="I191" s="29"/>
      <c r="J191" s="30"/>
      <c r="K191" s="18"/>
      <c r="L191" s="23" cm="1">
        <f t="array" ref="L191">_xlfn.IFERROR(VLOOKUP(D191,'Lookups'!$A$2:$C$17,2,FALSE),0)</f>
        <v>0</v>
      </c>
      <c r="M191" s="23" cm="1">
        <f t="array" ref="M191">K191*L191</f>
        <v>0</v>
      </c>
      <c r="N191" s="18"/>
      <c r="O191" s="23"/>
      <c r="P191" s="23" cm="1">
        <f t="array" ref="P191">N191*O191</f>
        <v>0</v>
      </c>
      <c r="Q191" t="s" s="17">
        <v>37</v>
      </c>
      <c r="R191" s="23" cm="1">
        <f t="array" ref="R191">(M191+P191)*(1+VALUE(SUBSTITUTE(Q191,"%",""))/100)</f>
        <v>0</v>
      </c>
      <c r="S191" t="s" s="17">
        <v>31</v>
      </c>
    </row>
    <row r="192" ht="16" customHeight="1">
      <c r="A192" s="15">
        <v>15</v>
      </c>
      <c r="B192" s="18"/>
      <c r="C192" s="28"/>
      <c r="D192" s="18"/>
      <c r="E192" s="18"/>
      <c r="F192" s="18"/>
      <c r="G192" s="25"/>
      <c r="H192" s="4"/>
      <c r="I192" s="29"/>
      <c r="J192" s="30"/>
      <c r="K192" s="18"/>
      <c r="L192" s="23" cm="1">
        <f t="array" ref="L192">_xlfn.IFERROR(VLOOKUP(D192,'Lookups'!$A$2:$C$17,2,FALSE),0)</f>
        <v>0</v>
      </c>
      <c r="M192" s="23" cm="1">
        <f t="array" ref="M192">K192*L192</f>
        <v>0</v>
      </c>
      <c r="N192" s="18"/>
      <c r="O192" s="23"/>
      <c r="P192" s="23" cm="1">
        <f t="array" ref="P192">N192*O192</f>
        <v>0</v>
      </c>
      <c r="Q192" t="s" s="17">
        <v>37</v>
      </c>
      <c r="R192" s="23" cm="1">
        <f t="array" ref="R192">(M192+P192)*(1+VALUE(SUBSTITUTE(Q192,"%",""))/100)</f>
        <v>0</v>
      </c>
      <c r="S192" t="s" s="17">
        <v>31</v>
      </c>
    </row>
    <row r="193" ht="16" customHeight="1">
      <c r="A193" s="15">
        <v>15</v>
      </c>
      <c r="B193" s="18"/>
      <c r="C193" s="28"/>
      <c r="D193" s="18"/>
      <c r="E193" s="18"/>
      <c r="F193" s="18"/>
      <c r="G193" s="25"/>
      <c r="H193" s="4"/>
      <c r="I193" s="29"/>
      <c r="J193" s="30"/>
      <c r="K193" s="18"/>
      <c r="L193" s="23" cm="1">
        <f t="array" ref="L193">_xlfn.IFERROR(VLOOKUP(D193,'Lookups'!$A$2:$C$17,2,FALSE),0)</f>
        <v>0</v>
      </c>
      <c r="M193" s="23" cm="1">
        <f t="array" ref="M193">K193*L193</f>
        <v>0</v>
      </c>
      <c r="N193" s="18"/>
      <c r="O193" s="23"/>
      <c r="P193" s="23" cm="1">
        <f t="array" ref="P193">N193*O193</f>
        <v>0</v>
      </c>
      <c r="Q193" t="s" s="17">
        <v>37</v>
      </c>
      <c r="R193" s="23" cm="1">
        <f t="array" ref="R193">(M193+P193)*(1+VALUE(SUBSTITUTE(Q193,"%",""))/100)</f>
        <v>0</v>
      </c>
      <c r="S193" t="s" s="17">
        <v>31</v>
      </c>
    </row>
    <row r="194" ht="16" customHeight="1">
      <c r="A194" s="15">
        <v>15</v>
      </c>
      <c r="B194" s="18"/>
      <c r="C194" s="28"/>
      <c r="D194" s="18"/>
      <c r="E194" s="18"/>
      <c r="F194" s="18"/>
      <c r="G194" s="25"/>
      <c r="H194" s="4"/>
      <c r="I194" s="29"/>
      <c r="J194" s="30"/>
      <c r="K194" s="18"/>
      <c r="L194" s="23" cm="1">
        <f t="array" ref="L194">_xlfn.IFERROR(VLOOKUP(D194,'Lookups'!$A$2:$C$17,2,FALSE),0)</f>
        <v>0</v>
      </c>
      <c r="M194" s="23" cm="1">
        <f t="array" ref="M194">K194*L194</f>
        <v>0</v>
      </c>
      <c r="N194" s="18"/>
      <c r="O194" s="23"/>
      <c r="P194" s="23" cm="1">
        <f t="array" ref="P194">N194*O194</f>
        <v>0</v>
      </c>
      <c r="Q194" t="s" s="17">
        <v>37</v>
      </c>
      <c r="R194" s="23" cm="1">
        <f t="array" ref="R194">(M194+P194)*(1+VALUE(SUBSTITUTE(Q194,"%",""))/100)</f>
        <v>0</v>
      </c>
      <c r="S194" t="s" s="17">
        <v>31</v>
      </c>
    </row>
    <row r="195" ht="16" customHeight="1">
      <c r="A195" s="15">
        <v>15</v>
      </c>
      <c r="B195" s="18"/>
      <c r="C195" s="28"/>
      <c r="D195" s="18"/>
      <c r="E195" s="18"/>
      <c r="F195" s="18"/>
      <c r="G195" s="25"/>
      <c r="H195" s="4"/>
      <c r="I195" s="29"/>
      <c r="J195" s="30"/>
      <c r="K195" s="18"/>
      <c r="L195" s="23" cm="1">
        <f t="array" ref="L195">_xlfn.IFERROR(VLOOKUP(D195,'Lookups'!$A$2:$C$17,2,FALSE),0)</f>
        <v>0</v>
      </c>
      <c r="M195" s="23" cm="1">
        <f t="array" ref="M195">K195*L195</f>
        <v>0</v>
      </c>
      <c r="N195" s="18"/>
      <c r="O195" s="23"/>
      <c r="P195" s="23" cm="1">
        <f t="array" ref="P195">N195*O195</f>
        <v>0</v>
      </c>
      <c r="Q195" t="s" s="17">
        <v>37</v>
      </c>
      <c r="R195" s="23" cm="1">
        <f t="array" ref="R195">(M195+P195)*(1+VALUE(SUBSTITUTE(Q195,"%",""))/100)</f>
        <v>0</v>
      </c>
      <c r="S195" t="s" s="17">
        <v>31</v>
      </c>
    </row>
    <row r="196" ht="16" customHeight="1">
      <c r="A196" s="15">
        <v>15</v>
      </c>
      <c r="B196" s="18"/>
      <c r="C196" s="28"/>
      <c r="D196" s="18"/>
      <c r="E196" s="18"/>
      <c r="F196" s="18"/>
      <c r="G196" s="25"/>
      <c r="H196" s="4"/>
      <c r="I196" s="29"/>
      <c r="J196" s="30"/>
      <c r="K196" s="18"/>
      <c r="L196" s="23" cm="1">
        <f t="array" ref="L196">_xlfn.IFERROR(VLOOKUP(D196,'Lookups'!$A$2:$C$17,2,FALSE),0)</f>
        <v>0</v>
      </c>
      <c r="M196" s="23" cm="1">
        <f t="array" ref="M196">K196*L196</f>
        <v>0</v>
      </c>
      <c r="N196" s="18"/>
      <c r="O196" s="23"/>
      <c r="P196" s="23" cm="1">
        <f t="array" ref="P196">N196*O196</f>
        <v>0</v>
      </c>
      <c r="Q196" t="s" s="17">
        <v>37</v>
      </c>
      <c r="R196" s="23" cm="1">
        <f t="array" ref="R196">(M196+P196)*(1+VALUE(SUBSTITUTE(Q196,"%",""))/100)</f>
        <v>0</v>
      </c>
      <c r="S196" t="s" s="17">
        <v>31</v>
      </c>
    </row>
    <row r="197" ht="16" customHeight="1">
      <c r="A197" s="15">
        <v>15</v>
      </c>
      <c r="B197" s="18"/>
      <c r="C197" s="28"/>
      <c r="D197" s="18"/>
      <c r="E197" s="18"/>
      <c r="F197" s="18"/>
      <c r="G197" s="25"/>
      <c r="H197" s="4"/>
      <c r="I197" s="29"/>
      <c r="J197" s="30"/>
      <c r="K197" s="18"/>
      <c r="L197" s="23" cm="1">
        <f t="array" ref="L197">_xlfn.IFERROR(VLOOKUP(D197,'Lookups'!$A$2:$C$17,2,FALSE),0)</f>
        <v>0</v>
      </c>
      <c r="M197" s="23" cm="1">
        <f t="array" ref="M197">K197*L197</f>
        <v>0</v>
      </c>
      <c r="N197" s="18"/>
      <c r="O197" s="23"/>
      <c r="P197" s="23" cm="1">
        <f t="array" ref="P197">N197*O197</f>
        <v>0</v>
      </c>
      <c r="Q197" t="s" s="17">
        <v>37</v>
      </c>
      <c r="R197" s="23" cm="1">
        <f t="array" ref="R197">(M197+P197)*(1+VALUE(SUBSTITUTE(Q197,"%",""))/100)</f>
        <v>0</v>
      </c>
      <c r="S197" t="s" s="17">
        <v>31</v>
      </c>
    </row>
    <row r="198" ht="16" customHeight="1">
      <c r="A198" s="15">
        <v>15</v>
      </c>
      <c r="B198" s="18"/>
      <c r="C198" s="28"/>
      <c r="D198" s="18"/>
      <c r="E198" s="18"/>
      <c r="F198" s="18"/>
      <c r="G198" s="25"/>
      <c r="H198" s="4"/>
      <c r="I198" s="29"/>
      <c r="J198" s="30"/>
      <c r="K198" s="18"/>
      <c r="L198" s="23" cm="1">
        <f t="array" ref="L198">_xlfn.IFERROR(VLOOKUP(D198,'Lookups'!$A$2:$C$17,2,FALSE),0)</f>
        <v>0</v>
      </c>
      <c r="M198" s="23" cm="1">
        <f t="array" ref="M198">K198*L198</f>
        <v>0</v>
      </c>
      <c r="N198" s="18"/>
      <c r="O198" s="23"/>
      <c r="P198" s="23" cm="1">
        <f t="array" ref="P198">N198*O198</f>
        <v>0</v>
      </c>
      <c r="Q198" t="s" s="17">
        <v>37</v>
      </c>
      <c r="R198" s="23" cm="1">
        <f t="array" ref="R198">(M198+P198)*(1+VALUE(SUBSTITUTE(Q198,"%",""))/100)</f>
        <v>0</v>
      </c>
      <c r="S198" t="s" s="17">
        <v>31</v>
      </c>
    </row>
    <row r="199" ht="16" customHeight="1">
      <c r="A199" s="15">
        <v>15</v>
      </c>
      <c r="B199" s="18"/>
      <c r="C199" s="28"/>
      <c r="D199" s="18"/>
      <c r="E199" s="18"/>
      <c r="F199" s="18"/>
      <c r="G199" s="25"/>
      <c r="H199" s="4"/>
      <c r="I199" s="29"/>
      <c r="J199" s="30"/>
      <c r="K199" s="18"/>
      <c r="L199" s="23" cm="1">
        <f t="array" ref="L199">_xlfn.IFERROR(VLOOKUP(D199,'Lookups'!$A$2:$C$17,2,FALSE),0)</f>
        <v>0</v>
      </c>
      <c r="M199" s="23" cm="1">
        <f t="array" ref="M199">K199*L199</f>
        <v>0</v>
      </c>
      <c r="N199" s="18"/>
      <c r="O199" s="23"/>
      <c r="P199" s="23" cm="1">
        <f t="array" ref="P199">N199*O199</f>
        <v>0</v>
      </c>
      <c r="Q199" t="s" s="17">
        <v>37</v>
      </c>
      <c r="R199" s="23" cm="1">
        <f t="array" ref="R199">(M199+P199)*(1+VALUE(SUBSTITUTE(Q199,"%",""))/100)</f>
        <v>0</v>
      </c>
      <c r="S199" t="s" s="17">
        <v>31</v>
      </c>
    </row>
    <row r="200" ht="16" customHeight="1">
      <c r="A200" s="15">
        <v>15</v>
      </c>
      <c r="B200" s="18"/>
      <c r="C200" s="28"/>
      <c r="D200" s="18"/>
      <c r="E200" s="18"/>
      <c r="F200" s="18"/>
      <c r="G200" s="31"/>
      <c r="H200" s="9"/>
      <c r="I200" s="32"/>
      <c r="J200" s="33"/>
      <c r="K200" s="18"/>
      <c r="L200" s="23" cm="1">
        <f t="array" ref="L200">_xlfn.IFERROR(VLOOKUP(D200,'Lookups'!$A$2:$C$17,2,FALSE),0)</f>
        <v>0</v>
      </c>
      <c r="M200" s="23" cm="1">
        <f t="array" ref="M200">K200*L200</f>
        <v>0</v>
      </c>
      <c r="N200" s="18"/>
      <c r="O200" s="23"/>
      <c r="P200" s="23" cm="1">
        <f t="array" ref="P200">N200*O200</f>
        <v>0</v>
      </c>
      <c r="Q200" t="s" s="17">
        <v>44</v>
      </c>
      <c r="R200" s="23" cm="1">
        <f t="array" ref="R200">(M200+P200)*(1+VALUE(SUBSTITUTE(Q200,"%",""))/100)</f>
        <v>0</v>
      </c>
      <c r="S200" t="s" s="17">
        <v>31</v>
      </c>
    </row>
    <row r="201" ht="16" customHeight="1">
      <c r="A201" t="s" s="11">
        <v>89</v>
      </c>
      <c r="B201" s="12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4"/>
      <c r="P201" s="12"/>
      <c r="Q201" s="13"/>
      <c r="R201" s="13"/>
      <c r="S201" s="14"/>
    </row>
    <row r="202" ht="16" customHeight="1">
      <c r="A202" s="15">
        <v>16</v>
      </c>
      <c r="B202" s="18"/>
      <c r="C202" s="28"/>
      <c r="D202" s="18"/>
      <c r="E202" s="18"/>
      <c r="F202" s="18"/>
      <c r="G202" s="19"/>
      <c r="H202" s="20"/>
      <c r="I202" s="36"/>
      <c r="J202" s="37"/>
      <c r="K202" s="18"/>
      <c r="L202" s="23" cm="1">
        <f t="array" ref="L202">_xlfn.IFERROR(VLOOKUP(D202,'Lookups'!$A$2:$C$17,2,FALSE),0)</f>
        <v>0</v>
      </c>
      <c r="M202" s="23" cm="1">
        <f t="array" ref="M202">K202*L202</f>
        <v>0</v>
      </c>
      <c r="N202" s="18"/>
      <c r="O202" s="23"/>
      <c r="P202" s="23" cm="1">
        <f t="array" ref="P202">N202*O202</f>
        <v>0</v>
      </c>
      <c r="Q202" t="s" s="17">
        <v>37</v>
      </c>
      <c r="R202" s="23" cm="1">
        <f t="array" ref="R202">(M202+P202)*(1+VALUE(SUBSTITUTE(Q202,"%",""))/100)</f>
        <v>0</v>
      </c>
      <c r="S202" t="s" s="17">
        <v>31</v>
      </c>
    </row>
    <row r="203" ht="16" customHeight="1">
      <c r="A203" s="15">
        <v>16</v>
      </c>
      <c r="B203" s="18"/>
      <c r="C203" s="28"/>
      <c r="D203" s="18"/>
      <c r="E203" s="18"/>
      <c r="F203" s="18"/>
      <c r="G203" s="25"/>
      <c r="H203" s="4"/>
      <c r="I203" s="29"/>
      <c r="J203" s="30"/>
      <c r="K203" s="18"/>
      <c r="L203" s="23" cm="1">
        <f t="array" ref="L203">_xlfn.IFERROR(VLOOKUP(D203,'Lookups'!$A$2:$C$17,2,FALSE),0)</f>
        <v>0</v>
      </c>
      <c r="M203" s="23" cm="1">
        <f t="array" ref="M203">K203*L203</f>
        <v>0</v>
      </c>
      <c r="N203" s="18"/>
      <c r="O203" s="23"/>
      <c r="P203" s="23" cm="1">
        <f t="array" ref="P203">N203*O203</f>
        <v>0</v>
      </c>
      <c r="Q203" t="s" s="17">
        <v>37</v>
      </c>
      <c r="R203" s="23" cm="1">
        <f t="array" ref="R203">(M203+P203)*(1+VALUE(SUBSTITUTE(Q203,"%",""))/100)</f>
        <v>0</v>
      </c>
      <c r="S203" t="s" s="17">
        <v>31</v>
      </c>
    </row>
    <row r="204" ht="16" customHeight="1">
      <c r="A204" s="15">
        <v>16</v>
      </c>
      <c r="B204" s="18"/>
      <c r="C204" s="28"/>
      <c r="D204" s="18"/>
      <c r="E204" s="18"/>
      <c r="F204" s="18"/>
      <c r="G204" s="25"/>
      <c r="H204" s="4"/>
      <c r="I204" s="29"/>
      <c r="J204" s="30"/>
      <c r="K204" s="18"/>
      <c r="L204" s="23" cm="1">
        <f t="array" ref="L204">_xlfn.IFERROR(VLOOKUP(D204,'Lookups'!$A$2:$C$17,2,FALSE),0)</f>
        <v>0</v>
      </c>
      <c r="M204" s="23" cm="1">
        <f t="array" ref="M204">K204*L204</f>
        <v>0</v>
      </c>
      <c r="N204" s="18"/>
      <c r="O204" s="23"/>
      <c r="P204" s="23" cm="1">
        <f t="array" ref="P204">N204*O204</f>
        <v>0</v>
      </c>
      <c r="Q204" t="s" s="17">
        <v>37</v>
      </c>
      <c r="R204" s="23" cm="1">
        <f t="array" ref="R204">(M204+P204)*(1+VALUE(SUBSTITUTE(Q204,"%",""))/100)</f>
        <v>0</v>
      </c>
      <c r="S204" t="s" s="17">
        <v>31</v>
      </c>
    </row>
    <row r="205" ht="16" customHeight="1">
      <c r="A205" s="15">
        <v>16</v>
      </c>
      <c r="B205" s="18"/>
      <c r="C205" s="28"/>
      <c r="D205" s="18"/>
      <c r="E205" s="18"/>
      <c r="F205" s="18"/>
      <c r="G205" s="25"/>
      <c r="H205" s="4"/>
      <c r="I205" s="29"/>
      <c r="J205" s="30"/>
      <c r="K205" s="18"/>
      <c r="L205" s="23" cm="1">
        <f t="array" ref="L205">_xlfn.IFERROR(VLOOKUP(D205,'Lookups'!$A$2:$C$17,2,FALSE),0)</f>
        <v>0</v>
      </c>
      <c r="M205" s="23" cm="1">
        <f t="array" ref="M205">K205*L205</f>
        <v>0</v>
      </c>
      <c r="N205" s="18"/>
      <c r="O205" s="23"/>
      <c r="P205" s="23" cm="1">
        <f t="array" ref="P205">N205*O205</f>
        <v>0</v>
      </c>
      <c r="Q205" t="s" s="17">
        <v>37</v>
      </c>
      <c r="R205" s="23" cm="1">
        <f t="array" ref="R205">(M205+P205)*(1+VALUE(SUBSTITUTE(Q205,"%",""))/100)</f>
        <v>0</v>
      </c>
      <c r="S205" t="s" s="17">
        <v>31</v>
      </c>
    </row>
    <row r="206" ht="16" customHeight="1">
      <c r="A206" s="15">
        <v>16</v>
      </c>
      <c r="B206" s="18"/>
      <c r="C206" s="28"/>
      <c r="D206" s="18"/>
      <c r="E206" s="18"/>
      <c r="F206" s="18"/>
      <c r="G206" s="25"/>
      <c r="H206" s="4"/>
      <c r="I206" s="29"/>
      <c r="J206" s="30"/>
      <c r="K206" s="18"/>
      <c r="L206" s="23" cm="1">
        <f t="array" ref="L206">_xlfn.IFERROR(VLOOKUP(D206,'Lookups'!$A$2:$C$17,2,FALSE),0)</f>
        <v>0</v>
      </c>
      <c r="M206" s="23" cm="1">
        <f t="array" ref="M206">K206*L206</f>
        <v>0</v>
      </c>
      <c r="N206" s="18"/>
      <c r="O206" s="23"/>
      <c r="P206" s="23" cm="1">
        <f t="array" ref="P206">N206*O206</f>
        <v>0</v>
      </c>
      <c r="Q206" t="s" s="17">
        <v>37</v>
      </c>
      <c r="R206" s="23" cm="1">
        <f t="array" ref="R206">(M206+P206)*(1+VALUE(SUBSTITUTE(Q206,"%",""))/100)</f>
        <v>0</v>
      </c>
      <c r="S206" t="s" s="17">
        <v>31</v>
      </c>
    </row>
    <row r="207" ht="16" customHeight="1">
      <c r="A207" s="15">
        <v>16</v>
      </c>
      <c r="B207" s="18"/>
      <c r="C207" s="28"/>
      <c r="D207" s="18"/>
      <c r="E207" s="18"/>
      <c r="F207" s="18"/>
      <c r="G207" s="25"/>
      <c r="H207" s="4"/>
      <c r="I207" s="29"/>
      <c r="J207" s="30"/>
      <c r="K207" s="18"/>
      <c r="L207" s="23" cm="1">
        <f t="array" ref="L207">_xlfn.IFERROR(VLOOKUP(D207,'Lookups'!$A$2:$C$17,2,FALSE),0)</f>
        <v>0</v>
      </c>
      <c r="M207" s="23" cm="1">
        <f t="array" ref="M207">K207*L207</f>
        <v>0</v>
      </c>
      <c r="N207" s="18"/>
      <c r="O207" s="23"/>
      <c r="P207" s="23" cm="1">
        <f t="array" ref="P207">N207*O207</f>
        <v>0</v>
      </c>
      <c r="Q207" t="s" s="17">
        <v>37</v>
      </c>
      <c r="R207" s="23" cm="1">
        <f t="array" ref="R207">(M207+P207)*(1+VALUE(SUBSTITUTE(Q207,"%",""))/100)</f>
        <v>0</v>
      </c>
      <c r="S207" t="s" s="17">
        <v>31</v>
      </c>
    </row>
    <row r="208" ht="16" customHeight="1">
      <c r="A208" s="15">
        <v>16</v>
      </c>
      <c r="B208" s="18"/>
      <c r="C208" s="28"/>
      <c r="D208" s="18"/>
      <c r="E208" s="18"/>
      <c r="F208" s="18"/>
      <c r="G208" s="25"/>
      <c r="H208" s="4"/>
      <c r="I208" s="29"/>
      <c r="J208" s="30"/>
      <c r="K208" s="18"/>
      <c r="L208" s="23" cm="1">
        <f t="array" ref="L208">_xlfn.IFERROR(VLOOKUP(D208,'Lookups'!$A$2:$C$17,2,FALSE),0)</f>
        <v>0</v>
      </c>
      <c r="M208" s="23" cm="1">
        <f t="array" ref="M208">K208*L208</f>
        <v>0</v>
      </c>
      <c r="N208" s="18"/>
      <c r="O208" s="23"/>
      <c r="P208" s="23" cm="1">
        <f t="array" ref="P208">N208*O208</f>
        <v>0</v>
      </c>
      <c r="Q208" t="s" s="17">
        <v>37</v>
      </c>
      <c r="R208" s="23" cm="1">
        <f t="array" ref="R208">(M208+P208)*(1+VALUE(SUBSTITUTE(Q208,"%",""))/100)</f>
        <v>0</v>
      </c>
      <c r="S208" t="s" s="17">
        <v>31</v>
      </c>
    </row>
    <row r="209" ht="16" customHeight="1">
      <c r="A209" s="15">
        <v>16</v>
      </c>
      <c r="B209" s="18"/>
      <c r="C209" s="28"/>
      <c r="D209" s="18"/>
      <c r="E209" s="18"/>
      <c r="F209" s="18"/>
      <c r="G209" s="25"/>
      <c r="H209" s="4"/>
      <c r="I209" s="29"/>
      <c r="J209" s="30"/>
      <c r="K209" s="18"/>
      <c r="L209" s="23" cm="1">
        <f t="array" ref="L209">_xlfn.IFERROR(VLOOKUP(D209,'Lookups'!$A$2:$C$17,2,FALSE),0)</f>
        <v>0</v>
      </c>
      <c r="M209" s="23" cm="1">
        <f t="array" ref="M209">K209*L209</f>
        <v>0</v>
      </c>
      <c r="N209" s="18"/>
      <c r="O209" s="23"/>
      <c r="P209" s="23" cm="1">
        <f t="array" ref="P209">N209*O209</f>
        <v>0</v>
      </c>
      <c r="Q209" t="s" s="17">
        <v>37</v>
      </c>
      <c r="R209" s="23" cm="1">
        <f t="array" ref="R209">(M209+P209)*(1+VALUE(SUBSTITUTE(Q209,"%",""))/100)</f>
        <v>0</v>
      </c>
      <c r="S209" t="s" s="17">
        <v>31</v>
      </c>
    </row>
    <row r="210" ht="16" customHeight="1">
      <c r="A210" s="15">
        <v>16</v>
      </c>
      <c r="B210" s="18"/>
      <c r="C210" s="28"/>
      <c r="D210" s="18"/>
      <c r="E210" s="18"/>
      <c r="F210" s="18"/>
      <c r="G210" s="25"/>
      <c r="H210" s="4"/>
      <c r="I210" s="29"/>
      <c r="J210" s="30"/>
      <c r="K210" s="18"/>
      <c r="L210" s="23" cm="1">
        <f t="array" ref="L210">_xlfn.IFERROR(VLOOKUP(D210,'Lookups'!$A$2:$C$17,2,FALSE),0)</f>
        <v>0</v>
      </c>
      <c r="M210" s="23" cm="1">
        <f t="array" ref="M210">K210*L210</f>
        <v>0</v>
      </c>
      <c r="N210" s="18"/>
      <c r="O210" s="23"/>
      <c r="P210" s="23" cm="1">
        <f t="array" ref="P210">N210*O210</f>
        <v>0</v>
      </c>
      <c r="Q210" t="s" s="17">
        <v>37</v>
      </c>
      <c r="R210" s="23" cm="1">
        <f t="array" ref="R210">(M210+P210)*(1+VALUE(SUBSTITUTE(Q210,"%",""))/100)</f>
        <v>0</v>
      </c>
      <c r="S210" t="s" s="17">
        <v>31</v>
      </c>
    </row>
    <row r="211" ht="16" customHeight="1">
      <c r="A211" s="15">
        <v>16</v>
      </c>
      <c r="B211" s="18"/>
      <c r="C211" s="28"/>
      <c r="D211" s="18"/>
      <c r="E211" s="18"/>
      <c r="F211" s="18"/>
      <c r="G211" s="25"/>
      <c r="H211" s="4"/>
      <c r="I211" s="29"/>
      <c r="J211" s="30"/>
      <c r="K211" s="18"/>
      <c r="L211" s="23" cm="1">
        <f t="array" ref="L211">_xlfn.IFERROR(VLOOKUP(D211,'Lookups'!$A$2:$C$17,2,FALSE),0)</f>
        <v>0</v>
      </c>
      <c r="M211" s="23" cm="1">
        <f t="array" ref="M211">K211*L211</f>
        <v>0</v>
      </c>
      <c r="N211" s="18"/>
      <c r="O211" s="23"/>
      <c r="P211" s="23" cm="1">
        <f t="array" ref="P211">N211*O211</f>
        <v>0</v>
      </c>
      <c r="Q211" t="s" s="17">
        <v>37</v>
      </c>
      <c r="R211" s="23" cm="1">
        <f t="array" ref="R211">(M211+P211)*(1+VALUE(SUBSTITUTE(Q211,"%",""))/100)</f>
        <v>0</v>
      </c>
      <c r="S211" t="s" s="17">
        <v>31</v>
      </c>
    </row>
    <row r="212" ht="16" customHeight="1">
      <c r="A212" s="15">
        <v>16</v>
      </c>
      <c r="B212" s="18"/>
      <c r="C212" s="28"/>
      <c r="D212" s="18"/>
      <c r="E212" s="18"/>
      <c r="F212" s="18"/>
      <c r="G212" s="25"/>
      <c r="H212" s="4"/>
      <c r="I212" s="29"/>
      <c r="J212" s="30"/>
      <c r="K212" s="18"/>
      <c r="L212" s="23" cm="1">
        <f t="array" ref="L212">_xlfn.IFERROR(VLOOKUP(D212,'Lookups'!$A$2:$C$17,2,FALSE),0)</f>
        <v>0</v>
      </c>
      <c r="M212" s="23" cm="1">
        <f t="array" ref="M212">K212*L212</f>
        <v>0</v>
      </c>
      <c r="N212" s="18"/>
      <c r="O212" s="23"/>
      <c r="P212" s="23" cm="1">
        <f t="array" ref="P212">N212*O212</f>
        <v>0</v>
      </c>
      <c r="Q212" t="s" s="17">
        <v>37</v>
      </c>
      <c r="R212" s="23" cm="1">
        <f t="array" ref="R212">(M212+P212)*(1+VALUE(SUBSTITUTE(Q212,"%",""))/100)</f>
        <v>0</v>
      </c>
      <c r="S212" t="s" s="17">
        <v>31</v>
      </c>
    </row>
    <row r="213" ht="16" customHeight="1">
      <c r="A213" s="15">
        <v>16</v>
      </c>
      <c r="B213" s="18"/>
      <c r="C213" s="28"/>
      <c r="D213" s="18"/>
      <c r="E213" s="18"/>
      <c r="F213" s="18"/>
      <c r="G213" s="31"/>
      <c r="H213" s="9"/>
      <c r="I213" s="32"/>
      <c r="J213" s="33"/>
      <c r="K213" s="18"/>
      <c r="L213" s="23" cm="1">
        <f t="array" ref="L213">_xlfn.IFERROR(VLOOKUP(D213,'Lookups'!$A$2:$C$17,2,FALSE),0)</f>
        <v>0</v>
      </c>
      <c r="M213" s="23" cm="1">
        <f t="array" ref="M213">K213*L213</f>
        <v>0</v>
      </c>
      <c r="N213" s="18"/>
      <c r="O213" s="23"/>
      <c r="P213" s="23" cm="1">
        <f t="array" ref="P213">N213*O213</f>
        <v>0</v>
      </c>
      <c r="Q213" t="s" s="17">
        <v>37</v>
      </c>
      <c r="R213" s="23" cm="1">
        <f t="array" ref="R213">(M213+P213)*(1+VALUE(SUBSTITUTE(Q213,"%",""))/100)</f>
        <v>0</v>
      </c>
      <c r="S213" t="s" s="17">
        <v>31</v>
      </c>
    </row>
    <row r="214" ht="16" customHeight="1">
      <c r="A214" t="s" s="11">
        <v>90</v>
      </c>
      <c r="B214" s="12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4"/>
      <c r="P214" s="12"/>
      <c r="Q214" s="13"/>
      <c r="R214" s="13"/>
      <c r="S214" s="14"/>
    </row>
    <row r="215" ht="16" customHeight="1">
      <c r="A215" s="15">
        <v>17</v>
      </c>
      <c r="B215" s="18"/>
      <c r="C215" s="28"/>
      <c r="D215" s="18"/>
      <c r="E215" s="18"/>
      <c r="F215" s="18"/>
      <c r="G215" s="19"/>
      <c r="H215" s="20"/>
      <c r="I215" s="36"/>
      <c r="J215" s="37"/>
      <c r="K215" s="18"/>
      <c r="L215" s="23" cm="1">
        <f t="array" ref="L215">_xlfn.IFERROR(VLOOKUP(D215,'Lookups'!$A$2:$C$17,2,FALSE),0)</f>
        <v>0</v>
      </c>
      <c r="M215" s="23" cm="1">
        <f t="array" ref="M215">K215*L215</f>
        <v>0</v>
      </c>
      <c r="N215" s="18"/>
      <c r="O215" s="23"/>
      <c r="P215" s="23" cm="1">
        <f t="array" ref="P215">N215*O215</f>
        <v>0</v>
      </c>
      <c r="Q215" t="s" s="17">
        <v>37</v>
      </c>
      <c r="R215" s="23" cm="1">
        <f t="array" ref="R215">(M215+P215)*(1+VALUE(SUBSTITUTE(Q215,"%",""))/100)</f>
        <v>0</v>
      </c>
      <c r="S215" t="s" s="17">
        <v>31</v>
      </c>
    </row>
    <row r="216" ht="16" customHeight="1">
      <c r="A216" s="15">
        <v>17</v>
      </c>
      <c r="B216" s="18"/>
      <c r="C216" s="28"/>
      <c r="D216" s="18"/>
      <c r="E216" s="18"/>
      <c r="F216" s="18"/>
      <c r="G216" s="25"/>
      <c r="H216" s="4"/>
      <c r="I216" s="29"/>
      <c r="J216" s="30"/>
      <c r="K216" s="18"/>
      <c r="L216" s="23" cm="1">
        <f t="array" ref="L216">_xlfn.IFERROR(VLOOKUP(D216,'Lookups'!$A$2:$C$17,2,FALSE),0)</f>
        <v>0</v>
      </c>
      <c r="M216" s="23" cm="1">
        <f t="array" ref="M216">K216*L216</f>
        <v>0</v>
      </c>
      <c r="N216" s="18"/>
      <c r="O216" s="23"/>
      <c r="P216" s="23" cm="1">
        <f t="array" ref="P216">N216*O216</f>
        <v>0</v>
      </c>
      <c r="Q216" t="s" s="17">
        <v>37</v>
      </c>
      <c r="R216" s="23" cm="1">
        <f t="array" ref="R216">(M216+P216)*(1+VALUE(SUBSTITUTE(Q216,"%",""))/100)</f>
        <v>0</v>
      </c>
      <c r="S216" t="s" s="17">
        <v>31</v>
      </c>
    </row>
    <row r="217" ht="16" customHeight="1">
      <c r="A217" s="15">
        <v>17</v>
      </c>
      <c r="B217" s="18"/>
      <c r="C217" s="28"/>
      <c r="D217" s="18"/>
      <c r="E217" s="18"/>
      <c r="F217" s="18"/>
      <c r="G217" s="25"/>
      <c r="H217" s="4"/>
      <c r="I217" s="29"/>
      <c r="J217" s="30"/>
      <c r="K217" s="18"/>
      <c r="L217" s="23" cm="1">
        <f t="array" ref="L217">_xlfn.IFERROR(VLOOKUP(D217,'Lookups'!$A$2:$C$17,2,FALSE),0)</f>
        <v>0</v>
      </c>
      <c r="M217" s="23" cm="1">
        <f t="array" ref="M217">K217*L217</f>
        <v>0</v>
      </c>
      <c r="N217" s="18"/>
      <c r="O217" s="23"/>
      <c r="P217" s="23" cm="1">
        <f t="array" ref="P217">N217*O217</f>
        <v>0</v>
      </c>
      <c r="Q217" t="s" s="17">
        <v>37</v>
      </c>
      <c r="R217" s="23" cm="1">
        <f t="array" ref="R217">(M217+P217)*(1+VALUE(SUBSTITUTE(Q217,"%",""))/100)</f>
        <v>0</v>
      </c>
      <c r="S217" t="s" s="17">
        <v>31</v>
      </c>
    </row>
    <row r="218" ht="16" customHeight="1">
      <c r="A218" s="15">
        <v>17</v>
      </c>
      <c r="B218" s="18"/>
      <c r="C218" s="28"/>
      <c r="D218" s="18"/>
      <c r="E218" s="18"/>
      <c r="F218" s="18"/>
      <c r="G218" s="25"/>
      <c r="H218" s="4"/>
      <c r="I218" s="29"/>
      <c r="J218" s="30"/>
      <c r="K218" s="18"/>
      <c r="L218" s="23" cm="1">
        <f t="array" ref="L218">_xlfn.IFERROR(VLOOKUP(D218,'Lookups'!$A$2:$C$17,2,FALSE),0)</f>
        <v>0</v>
      </c>
      <c r="M218" s="23" cm="1">
        <f t="array" ref="M218">K218*L218</f>
        <v>0</v>
      </c>
      <c r="N218" s="18"/>
      <c r="O218" s="23"/>
      <c r="P218" s="23" cm="1">
        <f t="array" ref="P218">N218*O218</f>
        <v>0</v>
      </c>
      <c r="Q218" t="s" s="17">
        <v>37</v>
      </c>
      <c r="R218" s="23" cm="1">
        <f t="array" ref="R218">(M218+P218)*(1+VALUE(SUBSTITUTE(Q218,"%",""))/100)</f>
        <v>0</v>
      </c>
      <c r="S218" t="s" s="17">
        <v>31</v>
      </c>
    </row>
    <row r="219" ht="16" customHeight="1">
      <c r="A219" s="15">
        <v>17</v>
      </c>
      <c r="B219" s="18"/>
      <c r="C219" s="28"/>
      <c r="D219" s="18"/>
      <c r="E219" s="18"/>
      <c r="F219" s="18"/>
      <c r="G219" s="25"/>
      <c r="H219" s="4"/>
      <c r="I219" s="29"/>
      <c r="J219" s="30"/>
      <c r="K219" s="18"/>
      <c r="L219" s="23" cm="1">
        <f t="array" ref="L219">_xlfn.IFERROR(VLOOKUP(D219,'Lookups'!$A$2:$C$17,2,FALSE),0)</f>
        <v>0</v>
      </c>
      <c r="M219" s="23" cm="1">
        <f t="array" ref="M219">K219*L219</f>
        <v>0</v>
      </c>
      <c r="N219" s="18"/>
      <c r="O219" s="23"/>
      <c r="P219" s="23" cm="1">
        <f t="array" ref="P219">N219*O219</f>
        <v>0</v>
      </c>
      <c r="Q219" t="s" s="17">
        <v>37</v>
      </c>
      <c r="R219" s="23" cm="1">
        <f t="array" ref="R219">(M219+P219)*(1+VALUE(SUBSTITUTE(Q219,"%",""))/100)</f>
        <v>0</v>
      </c>
      <c r="S219" t="s" s="17">
        <v>31</v>
      </c>
    </row>
    <row r="220" ht="16" customHeight="1">
      <c r="A220" s="15">
        <v>17</v>
      </c>
      <c r="B220" s="18"/>
      <c r="C220" s="28"/>
      <c r="D220" s="18"/>
      <c r="E220" s="18"/>
      <c r="F220" s="18"/>
      <c r="G220" s="25"/>
      <c r="H220" s="4"/>
      <c r="I220" s="29"/>
      <c r="J220" s="30"/>
      <c r="K220" s="18"/>
      <c r="L220" s="23" cm="1">
        <f t="array" ref="L220">_xlfn.IFERROR(VLOOKUP(D220,'Lookups'!$A$2:$C$17,2,FALSE),0)</f>
        <v>0</v>
      </c>
      <c r="M220" s="23" cm="1">
        <f t="array" ref="M220">K220*L220</f>
        <v>0</v>
      </c>
      <c r="N220" s="18"/>
      <c r="O220" s="23"/>
      <c r="P220" s="23" cm="1">
        <f t="array" ref="P220">N220*O220</f>
        <v>0</v>
      </c>
      <c r="Q220" t="s" s="17">
        <v>37</v>
      </c>
      <c r="R220" s="23" cm="1">
        <f t="array" ref="R220">(M220+P220)*(1+VALUE(SUBSTITUTE(Q220,"%",""))/100)</f>
        <v>0</v>
      </c>
      <c r="S220" t="s" s="17">
        <v>31</v>
      </c>
    </row>
    <row r="221" ht="16" customHeight="1">
      <c r="A221" s="15">
        <v>17</v>
      </c>
      <c r="B221" s="18"/>
      <c r="C221" s="28"/>
      <c r="D221" s="18"/>
      <c r="E221" s="18"/>
      <c r="F221" s="18"/>
      <c r="G221" s="25"/>
      <c r="H221" s="4"/>
      <c r="I221" s="29"/>
      <c r="J221" s="30"/>
      <c r="K221" s="18"/>
      <c r="L221" s="23" cm="1">
        <f t="array" ref="L221">_xlfn.IFERROR(VLOOKUP(D221,'Lookups'!$A$2:$C$17,2,FALSE),0)</f>
        <v>0</v>
      </c>
      <c r="M221" s="23" cm="1">
        <f t="array" ref="M221">K221*L221</f>
        <v>0</v>
      </c>
      <c r="N221" s="18"/>
      <c r="O221" s="23"/>
      <c r="P221" s="23" cm="1">
        <f t="array" ref="P221">N221*O221</f>
        <v>0</v>
      </c>
      <c r="Q221" t="s" s="17">
        <v>37</v>
      </c>
      <c r="R221" s="23" cm="1">
        <f t="array" ref="R221">(M221+P221)*(1+VALUE(SUBSTITUTE(Q221,"%",""))/100)</f>
        <v>0</v>
      </c>
      <c r="S221" t="s" s="17">
        <v>31</v>
      </c>
    </row>
    <row r="222" ht="16" customHeight="1">
      <c r="A222" s="15">
        <v>17</v>
      </c>
      <c r="B222" s="18"/>
      <c r="C222" s="28"/>
      <c r="D222" s="18"/>
      <c r="E222" s="18"/>
      <c r="F222" s="18"/>
      <c r="G222" s="25"/>
      <c r="H222" s="4"/>
      <c r="I222" s="29"/>
      <c r="J222" s="30"/>
      <c r="K222" s="18"/>
      <c r="L222" s="23" cm="1">
        <f t="array" ref="L222">_xlfn.IFERROR(VLOOKUP(D222,'Lookups'!$A$2:$C$17,2,FALSE),0)</f>
        <v>0</v>
      </c>
      <c r="M222" s="23" cm="1">
        <f t="array" ref="M222">K222*L222</f>
        <v>0</v>
      </c>
      <c r="N222" s="18"/>
      <c r="O222" s="23"/>
      <c r="P222" s="23" cm="1">
        <f t="array" ref="P222">N222*O222</f>
        <v>0</v>
      </c>
      <c r="Q222" t="s" s="17">
        <v>37</v>
      </c>
      <c r="R222" s="23" cm="1">
        <f t="array" ref="R222">(M222+P222)*(1+VALUE(SUBSTITUTE(Q222,"%",""))/100)</f>
        <v>0</v>
      </c>
      <c r="S222" t="s" s="17">
        <v>31</v>
      </c>
    </row>
    <row r="223" ht="16" customHeight="1">
      <c r="A223" s="15">
        <v>17</v>
      </c>
      <c r="B223" s="18"/>
      <c r="C223" s="28"/>
      <c r="D223" s="18"/>
      <c r="E223" s="18"/>
      <c r="F223" s="18"/>
      <c r="G223" s="25"/>
      <c r="H223" s="4"/>
      <c r="I223" s="29"/>
      <c r="J223" s="30"/>
      <c r="K223" s="18"/>
      <c r="L223" s="23" cm="1">
        <f t="array" ref="L223">_xlfn.IFERROR(VLOOKUP(D223,'Lookups'!$A$2:$C$17,2,FALSE),0)</f>
        <v>0</v>
      </c>
      <c r="M223" s="23" cm="1">
        <f t="array" ref="M223">K223*L223</f>
        <v>0</v>
      </c>
      <c r="N223" s="18"/>
      <c r="O223" s="23"/>
      <c r="P223" s="23" cm="1">
        <f t="array" ref="P223">N223*O223</f>
        <v>0</v>
      </c>
      <c r="Q223" t="s" s="17">
        <v>37</v>
      </c>
      <c r="R223" s="23" cm="1">
        <f t="array" ref="R223">(M223+P223)*(1+VALUE(SUBSTITUTE(Q223,"%",""))/100)</f>
        <v>0</v>
      </c>
      <c r="S223" t="s" s="17">
        <v>31</v>
      </c>
    </row>
    <row r="224" ht="16" customHeight="1">
      <c r="A224" s="15">
        <v>17</v>
      </c>
      <c r="B224" s="18"/>
      <c r="C224" s="28"/>
      <c r="D224" s="18"/>
      <c r="E224" s="18"/>
      <c r="F224" s="18"/>
      <c r="G224" s="25"/>
      <c r="H224" s="4"/>
      <c r="I224" s="29"/>
      <c r="J224" s="30"/>
      <c r="K224" s="18"/>
      <c r="L224" s="23" cm="1">
        <f t="array" ref="L224">_xlfn.IFERROR(VLOOKUP(D224,'Lookups'!$A$2:$C$17,2,FALSE),0)</f>
        <v>0</v>
      </c>
      <c r="M224" s="23" cm="1">
        <f t="array" ref="M224">K224*L224</f>
        <v>0</v>
      </c>
      <c r="N224" s="18"/>
      <c r="O224" s="23"/>
      <c r="P224" s="23" cm="1">
        <f t="array" ref="P224">N224*O224</f>
        <v>0</v>
      </c>
      <c r="Q224" t="s" s="17">
        <v>37</v>
      </c>
      <c r="R224" s="23" cm="1">
        <f t="array" ref="R224">(M224+P224)*(1+VALUE(SUBSTITUTE(Q224,"%",""))/100)</f>
        <v>0</v>
      </c>
      <c r="S224" t="s" s="17">
        <v>31</v>
      </c>
    </row>
    <row r="225" ht="16" customHeight="1">
      <c r="A225" s="15">
        <v>17</v>
      </c>
      <c r="B225" s="18"/>
      <c r="C225" s="28"/>
      <c r="D225" s="18"/>
      <c r="E225" s="18"/>
      <c r="F225" s="18"/>
      <c r="G225" s="25"/>
      <c r="H225" s="4"/>
      <c r="I225" s="29"/>
      <c r="J225" s="30"/>
      <c r="K225" s="18"/>
      <c r="L225" s="23" cm="1">
        <f t="array" ref="L225">_xlfn.IFERROR(VLOOKUP(D225,'Lookups'!$A$2:$C$17,2,FALSE),0)</f>
        <v>0</v>
      </c>
      <c r="M225" s="23" cm="1">
        <f t="array" ref="M225">K225*L225</f>
        <v>0</v>
      </c>
      <c r="N225" s="18"/>
      <c r="O225" s="23"/>
      <c r="P225" s="23" cm="1">
        <f t="array" ref="P225">N225*O225</f>
        <v>0</v>
      </c>
      <c r="Q225" t="s" s="17">
        <v>37</v>
      </c>
      <c r="R225" s="23" cm="1">
        <f t="array" ref="R225">(M225+P225)*(1+VALUE(SUBSTITUTE(Q225,"%",""))/100)</f>
        <v>0</v>
      </c>
      <c r="S225" t="s" s="17">
        <v>31</v>
      </c>
    </row>
    <row r="226" ht="16" customHeight="1">
      <c r="A226" s="15">
        <v>17</v>
      </c>
      <c r="B226" s="18"/>
      <c r="C226" s="28"/>
      <c r="D226" s="18"/>
      <c r="E226" s="18"/>
      <c r="F226" s="18"/>
      <c r="G226" s="31"/>
      <c r="H226" s="9"/>
      <c r="I226" s="32"/>
      <c r="J226" s="33"/>
      <c r="K226" s="18"/>
      <c r="L226" s="23" cm="1">
        <f t="array" ref="L226">_xlfn.IFERROR(VLOOKUP(D226,'Lookups'!$A$2:$C$17,2,FALSE),0)</f>
        <v>0</v>
      </c>
      <c r="M226" s="23" cm="1">
        <f t="array" ref="M226">K226*L226</f>
        <v>0</v>
      </c>
      <c r="N226" s="18"/>
      <c r="O226" s="23"/>
      <c r="P226" s="23" cm="1">
        <f t="array" ref="P226">N226*O226</f>
        <v>0</v>
      </c>
      <c r="Q226" t="s" s="17">
        <v>37</v>
      </c>
      <c r="R226" s="23" cm="1">
        <f t="array" ref="R226">(M226+P226)*(1+VALUE(SUBSTITUTE(Q226,"%",""))/100)</f>
        <v>0</v>
      </c>
      <c r="S226" t="s" s="17">
        <v>31</v>
      </c>
    </row>
    <row r="227" ht="16" customHeight="1">
      <c r="A227" t="s" s="11">
        <v>91</v>
      </c>
      <c r="B227" s="12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4"/>
      <c r="P227" s="12"/>
      <c r="Q227" s="13"/>
      <c r="R227" s="13"/>
      <c r="S227" s="14"/>
    </row>
    <row r="228" ht="16" customHeight="1">
      <c r="A228" s="15">
        <v>18</v>
      </c>
      <c r="B228" s="18"/>
      <c r="C228" s="28"/>
      <c r="D228" s="18"/>
      <c r="E228" s="18"/>
      <c r="F228" s="18"/>
      <c r="G228" s="19"/>
      <c r="H228" s="20"/>
      <c r="I228" s="36"/>
      <c r="J228" s="37"/>
      <c r="K228" s="18"/>
      <c r="L228" s="23" cm="1">
        <f t="array" ref="L228">_xlfn.IFERROR(VLOOKUP(D228,'Lookups'!$A$2:$C$17,2,FALSE),0)</f>
        <v>0</v>
      </c>
      <c r="M228" s="23" cm="1">
        <f t="array" ref="M228">K228*L228</f>
        <v>0</v>
      </c>
      <c r="N228" s="18"/>
      <c r="O228" s="23"/>
      <c r="P228" s="23" cm="1">
        <f t="array" ref="P228">N228*O228</f>
        <v>0</v>
      </c>
      <c r="Q228" t="s" s="17">
        <v>37</v>
      </c>
      <c r="R228" s="23" cm="1">
        <f t="array" ref="R228">(M228+P228)*(1+VALUE(SUBSTITUTE(Q228,"%",""))/100)</f>
        <v>0</v>
      </c>
      <c r="S228" t="s" s="17">
        <v>31</v>
      </c>
    </row>
    <row r="229" ht="16" customHeight="1">
      <c r="A229" s="15">
        <v>18</v>
      </c>
      <c r="B229" s="18"/>
      <c r="C229" s="28"/>
      <c r="D229" s="18"/>
      <c r="E229" s="18"/>
      <c r="F229" s="18"/>
      <c r="G229" s="25"/>
      <c r="H229" s="4"/>
      <c r="I229" s="29"/>
      <c r="J229" s="30"/>
      <c r="K229" s="18"/>
      <c r="L229" s="23" cm="1">
        <f t="array" ref="L229">_xlfn.IFERROR(VLOOKUP(D229,'Lookups'!$A$2:$C$17,2,FALSE),0)</f>
        <v>0</v>
      </c>
      <c r="M229" s="23" cm="1">
        <f t="array" ref="M229">K229*L229</f>
        <v>0</v>
      </c>
      <c r="N229" s="18"/>
      <c r="O229" s="23"/>
      <c r="P229" s="23" cm="1">
        <f t="array" ref="P229">N229*O229</f>
        <v>0</v>
      </c>
      <c r="Q229" t="s" s="17">
        <v>37</v>
      </c>
      <c r="R229" s="23" cm="1">
        <f t="array" ref="R229">(M229+P229)*(1+VALUE(SUBSTITUTE(Q229,"%",""))/100)</f>
        <v>0</v>
      </c>
      <c r="S229" t="s" s="17">
        <v>31</v>
      </c>
    </row>
    <row r="230" ht="16" customHeight="1">
      <c r="A230" s="15">
        <v>18</v>
      </c>
      <c r="B230" s="18"/>
      <c r="C230" s="28"/>
      <c r="D230" s="18"/>
      <c r="E230" s="18"/>
      <c r="F230" s="18"/>
      <c r="G230" s="25"/>
      <c r="H230" s="4"/>
      <c r="I230" s="29"/>
      <c r="J230" s="30"/>
      <c r="K230" s="18"/>
      <c r="L230" s="23" cm="1">
        <f t="array" ref="L230">_xlfn.IFERROR(VLOOKUP(D230,'Lookups'!$A$2:$C$17,2,FALSE),0)</f>
        <v>0</v>
      </c>
      <c r="M230" s="23" cm="1">
        <f t="array" ref="M230">K230*L230</f>
        <v>0</v>
      </c>
      <c r="N230" s="18"/>
      <c r="O230" s="23"/>
      <c r="P230" s="23" cm="1">
        <f t="array" ref="P230">N230*O230</f>
        <v>0</v>
      </c>
      <c r="Q230" t="s" s="17">
        <v>37</v>
      </c>
      <c r="R230" s="23" cm="1">
        <f t="array" ref="R230">(M230+P230)*(1+VALUE(SUBSTITUTE(Q230,"%",""))/100)</f>
        <v>0</v>
      </c>
      <c r="S230" t="s" s="17">
        <v>31</v>
      </c>
    </row>
    <row r="231" ht="16" customHeight="1">
      <c r="A231" s="15">
        <v>18</v>
      </c>
      <c r="B231" s="18"/>
      <c r="C231" s="28"/>
      <c r="D231" s="18"/>
      <c r="E231" s="18"/>
      <c r="F231" s="18"/>
      <c r="G231" s="25"/>
      <c r="H231" s="4"/>
      <c r="I231" s="29"/>
      <c r="J231" s="30"/>
      <c r="K231" s="18"/>
      <c r="L231" s="23" cm="1">
        <f t="array" ref="L231">_xlfn.IFERROR(VLOOKUP(D231,'Lookups'!$A$2:$C$17,2,FALSE),0)</f>
        <v>0</v>
      </c>
      <c r="M231" s="23" cm="1">
        <f t="array" ref="M231">K231*L231</f>
        <v>0</v>
      </c>
      <c r="N231" s="18"/>
      <c r="O231" s="23"/>
      <c r="P231" s="23" cm="1">
        <f t="array" ref="P231">N231*O231</f>
        <v>0</v>
      </c>
      <c r="Q231" t="s" s="17">
        <v>37</v>
      </c>
      <c r="R231" s="23" cm="1">
        <f t="array" ref="R231">(M231+P231)*(1+VALUE(SUBSTITUTE(Q231,"%",""))/100)</f>
        <v>0</v>
      </c>
      <c r="S231" t="s" s="17">
        <v>31</v>
      </c>
    </row>
    <row r="232" ht="16" customHeight="1">
      <c r="A232" s="15">
        <v>18</v>
      </c>
      <c r="B232" s="18"/>
      <c r="C232" s="28"/>
      <c r="D232" s="18"/>
      <c r="E232" s="18"/>
      <c r="F232" s="18"/>
      <c r="G232" s="25"/>
      <c r="H232" s="4"/>
      <c r="I232" s="29"/>
      <c r="J232" s="30"/>
      <c r="K232" s="18"/>
      <c r="L232" s="23" cm="1">
        <f t="array" ref="L232">_xlfn.IFERROR(VLOOKUP(D232,'Lookups'!$A$2:$C$17,2,FALSE),0)</f>
        <v>0</v>
      </c>
      <c r="M232" s="23" cm="1">
        <f t="array" ref="M232">K232*L232</f>
        <v>0</v>
      </c>
      <c r="N232" s="18"/>
      <c r="O232" s="23"/>
      <c r="P232" s="23" cm="1">
        <f t="array" ref="P232">N232*O232</f>
        <v>0</v>
      </c>
      <c r="Q232" t="s" s="17">
        <v>37</v>
      </c>
      <c r="R232" s="23" cm="1">
        <f t="array" ref="R232">(M232+P232)*(1+VALUE(SUBSTITUTE(Q232,"%",""))/100)</f>
        <v>0</v>
      </c>
      <c r="S232" t="s" s="17">
        <v>31</v>
      </c>
    </row>
    <row r="233" ht="16" customHeight="1">
      <c r="A233" s="15">
        <v>18</v>
      </c>
      <c r="B233" s="18"/>
      <c r="C233" s="28"/>
      <c r="D233" s="18"/>
      <c r="E233" s="18"/>
      <c r="F233" s="18"/>
      <c r="G233" s="25"/>
      <c r="H233" s="4"/>
      <c r="I233" s="29"/>
      <c r="J233" s="30"/>
      <c r="K233" s="18"/>
      <c r="L233" s="23" cm="1">
        <f t="array" ref="L233">_xlfn.IFERROR(VLOOKUP(D233,'Lookups'!$A$2:$C$17,2,FALSE),0)</f>
        <v>0</v>
      </c>
      <c r="M233" s="23" cm="1">
        <f t="array" ref="M233">K233*L233</f>
        <v>0</v>
      </c>
      <c r="N233" s="18"/>
      <c r="O233" s="23"/>
      <c r="P233" s="23" cm="1">
        <f t="array" ref="P233">N233*O233</f>
        <v>0</v>
      </c>
      <c r="Q233" t="s" s="17">
        <v>44</v>
      </c>
      <c r="R233" s="23" cm="1">
        <f t="array" ref="R233">(M233+P233)*(1+VALUE(SUBSTITUTE(Q233,"%",""))/100)</f>
        <v>0</v>
      </c>
      <c r="S233" t="s" s="17">
        <v>31</v>
      </c>
    </row>
    <row r="234" ht="16" customHeight="1">
      <c r="A234" s="15">
        <v>18</v>
      </c>
      <c r="B234" s="18"/>
      <c r="C234" s="28"/>
      <c r="D234" s="18"/>
      <c r="E234" s="18"/>
      <c r="F234" s="18"/>
      <c r="G234" s="25"/>
      <c r="H234" s="4"/>
      <c r="I234" s="29"/>
      <c r="J234" s="30"/>
      <c r="K234" s="18"/>
      <c r="L234" s="23" cm="1">
        <f t="array" ref="L234">_xlfn.IFERROR(VLOOKUP(D234,'Lookups'!$A$2:$C$17,2,FALSE),0)</f>
        <v>0</v>
      </c>
      <c r="M234" s="23" cm="1">
        <f t="array" ref="M234">K234*L234</f>
        <v>0</v>
      </c>
      <c r="N234" s="18"/>
      <c r="O234" s="23"/>
      <c r="P234" s="23" cm="1">
        <f t="array" ref="P234">N234*O234</f>
        <v>0</v>
      </c>
      <c r="Q234" t="s" s="17">
        <v>37</v>
      </c>
      <c r="R234" s="23" cm="1">
        <f t="array" ref="R234">(M234+P234)*(1+VALUE(SUBSTITUTE(Q234,"%",""))/100)</f>
        <v>0</v>
      </c>
      <c r="S234" t="s" s="17">
        <v>31</v>
      </c>
    </row>
    <row r="235" ht="16" customHeight="1">
      <c r="A235" s="15">
        <v>18</v>
      </c>
      <c r="B235" s="18"/>
      <c r="C235" s="28"/>
      <c r="D235" s="18"/>
      <c r="E235" s="18"/>
      <c r="F235" s="18"/>
      <c r="G235" s="25"/>
      <c r="H235" s="4"/>
      <c r="I235" s="29"/>
      <c r="J235" s="30"/>
      <c r="K235" s="18"/>
      <c r="L235" s="23" cm="1">
        <f t="array" ref="L235">_xlfn.IFERROR(VLOOKUP(D235,'Lookups'!$A$2:$C$17,2,FALSE),0)</f>
        <v>0</v>
      </c>
      <c r="M235" s="23" cm="1">
        <f t="array" ref="M235">K235*L235</f>
        <v>0</v>
      </c>
      <c r="N235" s="18"/>
      <c r="O235" s="23"/>
      <c r="P235" s="23" cm="1">
        <f t="array" ref="P235">N235*O235</f>
        <v>0</v>
      </c>
      <c r="Q235" t="s" s="17">
        <v>37</v>
      </c>
      <c r="R235" s="23" cm="1">
        <f t="array" ref="R235">(M235+P235)*(1+VALUE(SUBSTITUTE(Q235,"%",""))/100)</f>
        <v>0</v>
      </c>
      <c r="S235" t="s" s="17">
        <v>31</v>
      </c>
    </row>
    <row r="236" ht="16" customHeight="1">
      <c r="A236" s="15">
        <v>18</v>
      </c>
      <c r="B236" s="18"/>
      <c r="C236" s="28"/>
      <c r="D236" s="18"/>
      <c r="E236" s="18"/>
      <c r="F236" s="18"/>
      <c r="G236" s="25"/>
      <c r="H236" s="4"/>
      <c r="I236" s="29"/>
      <c r="J236" s="30"/>
      <c r="K236" s="18"/>
      <c r="L236" s="23" cm="1">
        <f t="array" ref="L236">_xlfn.IFERROR(VLOOKUP(D236,'Lookups'!$A$2:$C$17,2,FALSE),0)</f>
        <v>0</v>
      </c>
      <c r="M236" s="23" cm="1">
        <f t="array" ref="M236">K236*L236</f>
        <v>0</v>
      </c>
      <c r="N236" s="18"/>
      <c r="O236" s="23"/>
      <c r="P236" s="23" cm="1">
        <f t="array" ref="P236">N236*O236</f>
        <v>0</v>
      </c>
      <c r="Q236" t="s" s="17">
        <v>37</v>
      </c>
      <c r="R236" s="23" cm="1">
        <f t="array" ref="R236">(M236+P236)*(1+VALUE(SUBSTITUTE(Q236,"%",""))/100)</f>
        <v>0</v>
      </c>
      <c r="S236" t="s" s="17">
        <v>31</v>
      </c>
    </row>
    <row r="237" ht="16" customHeight="1">
      <c r="A237" s="15">
        <v>18</v>
      </c>
      <c r="B237" s="18"/>
      <c r="C237" s="28"/>
      <c r="D237" s="18"/>
      <c r="E237" s="18"/>
      <c r="F237" s="18"/>
      <c r="G237" s="25"/>
      <c r="H237" s="4"/>
      <c r="I237" s="29"/>
      <c r="J237" s="30"/>
      <c r="K237" s="18"/>
      <c r="L237" s="23" cm="1">
        <f t="array" ref="L237">_xlfn.IFERROR(VLOOKUP(D237,'Lookups'!$A$2:$C$17,2,FALSE),0)</f>
        <v>0</v>
      </c>
      <c r="M237" s="23" cm="1">
        <f t="array" ref="M237">K237*L237</f>
        <v>0</v>
      </c>
      <c r="N237" s="18"/>
      <c r="O237" s="23"/>
      <c r="P237" s="23" cm="1">
        <f t="array" ref="P237">N237*O237</f>
        <v>0</v>
      </c>
      <c r="Q237" t="s" s="17">
        <v>37</v>
      </c>
      <c r="R237" s="23" cm="1">
        <f t="array" ref="R237">(M237+P237)*(1+VALUE(SUBSTITUTE(Q237,"%",""))/100)</f>
        <v>0</v>
      </c>
      <c r="S237" t="s" s="17">
        <v>31</v>
      </c>
    </row>
    <row r="238" ht="16" customHeight="1">
      <c r="A238" s="15">
        <v>18</v>
      </c>
      <c r="B238" s="18"/>
      <c r="C238" s="28"/>
      <c r="D238" s="18"/>
      <c r="E238" s="18"/>
      <c r="F238" s="18"/>
      <c r="G238" s="25"/>
      <c r="H238" s="4"/>
      <c r="I238" s="29"/>
      <c r="J238" s="30"/>
      <c r="K238" s="18"/>
      <c r="L238" s="23" cm="1">
        <f t="array" ref="L238">_xlfn.IFERROR(VLOOKUP(D238,'Lookups'!$A$2:$C$17,2,FALSE),0)</f>
        <v>0</v>
      </c>
      <c r="M238" s="23" cm="1">
        <f t="array" ref="M238">K238*L238</f>
        <v>0</v>
      </c>
      <c r="N238" s="18"/>
      <c r="O238" s="23"/>
      <c r="P238" s="23" cm="1">
        <f t="array" ref="P238">N238*O238</f>
        <v>0</v>
      </c>
      <c r="Q238" t="s" s="17">
        <v>37</v>
      </c>
      <c r="R238" s="23" cm="1">
        <f t="array" ref="R238">(M238+P238)*(1+VALUE(SUBSTITUTE(Q238,"%",""))/100)</f>
        <v>0</v>
      </c>
      <c r="S238" t="s" s="17">
        <v>31</v>
      </c>
    </row>
    <row r="239" ht="16" customHeight="1">
      <c r="A239" s="15">
        <v>18</v>
      </c>
      <c r="B239" s="18"/>
      <c r="C239" s="28"/>
      <c r="D239" s="18"/>
      <c r="E239" s="18"/>
      <c r="F239" s="18"/>
      <c r="G239" s="31"/>
      <c r="H239" s="9"/>
      <c r="I239" s="32"/>
      <c r="J239" s="33"/>
      <c r="K239" s="18"/>
      <c r="L239" s="23" cm="1">
        <f t="array" ref="L239">_xlfn.IFERROR(VLOOKUP(D239,'Lookups'!$A$2:$C$17,2,FALSE),0)</f>
        <v>0</v>
      </c>
      <c r="M239" s="23" cm="1">
        <f t="array" ref="M239">K239*L239</f>
        <v>0</v>
      </c>
      <c r="N239" s="18"/>
      <c r="O239" s="23"/>
      <c r="P239" s="23" cm="1">
        <f t="array" ref="P239">N239*O239</f>
        <v>0</v>
      </c>
      <c r="Q239" t="s" s="17">
        <v>37</v>
      </c>
      <c r="R239" s="23" cm="1">
        <f t="array" ref="R239">(M239+P239)*(1+VALUE(SUBSTITUTE(Q239,"%",""))/100)</f>
        <v>0</v>
      </c>
      <c r="S239" t="s" s="17">
        <v>31</v>
      </c>
    </row>
    <row r="240" ht="16" customHeight="1">
      <c r="A240" t="s" s="11">
        <v>92</v>
      </c>
      <c r="B240" s="12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4"/>
      <c r="P240" s="12"/>
      <c r="Q240" s="13"/>
      <c r="R240" s="13"/>
      <c r="S240" s="14"/>
    </row>
    <row r="241" ht="16" customHeight="1">
      <c r="A241" s="15">
        <v>19</v>
      </c>
      <c r="B241" s="18"/>
      <c r="C241" s="28"/>
      <c r="D241" s="18"/>
      <c r="E241" s="18"/>
      <c r="F241" s="18"/>
      <c r="G241" s="19"/>
      <c r="H241" s="20"/>
      <c r="I241" s="36"/>
      <c r="J241" s="37"/>
      <c r="K241" s="18"/>
      <c r="L241" s="23" cm="1">
        <f t="array" ref="L241">_xlfn.IFERROR(VLOOKUP(D241,'Lookups'!$A$2:$C$17,2,FALSE),0)</f>
        <v>0</v>
      </c>
      <c r="M241" s="23" cm="1">
        <f t="array" ref="M241">K241*L241</f>
        <v>0</v>
      </c>
      <c r="N241" s="18"/>
      <c r="O241" s="23"/>
      <c r="P241" s="23" cm="1">
        <f t="array" ref="P241">N241*O241</f>
        <v>0</v>
      </c>
      <c r="Q241" t="s" s="17">
        <v>37</v>
      </c>
      <c r="R241" s="23" cm="1">
        <f t="array" ref="R241">(M241+P241)*(1+VALUE(SUBSTITUTE(Q241,"%",""))/100)</f>
        <v>0</v>
      </c>
      <c r="S241" t="s" s="17">
        <v>31</v>
      </c>
    </row>
    <row r="242" ht="16" customHeight="1">
      <c r="A242" s="15">
        <v>19</v>
      </c>
      <c r="B242" s="18"/>
      <c r="C242" s="28"/>
      <c r="D242" s="18"/>
      <c r="E242" s="18"/>
      <c r="F242" s="18"/>
      <c r="G242" s="25"/>
      <c r="H242" s="4"/>
      <c r="I242" s="29"/>
      <c r="J242" s="30"/>
      <c r="K242" s="18"/>
      <c r="L242" s="23" cm="1">
        <f t="array" ref="L242">_xlfn.IFERROR(VLOOKUP(D242,'Lookups'!$A$2:$C$17,2,FALSE),0)</f>
        <v>0</v>
      </c>
      <c r="M242" s="23" cm="1">
        <f t="array" ref="M242">K242*L242</f>
        <v>0</v>
      </c>
      <c r="N242" s="18"/>
      <c r="O242" s="23"/>
      <c r="P242" s="23" cm="1">
        <f t="array" ref="P242">N242*O242</f>
        <v>0</v>
      </c>
      <c r="Q242" t="s" s="17">
        <v>37</v>
      </c>
      <c r="R242" s="23" cm="1">
        <f t="array" ref="R242">(M242+P242)*(1+VALUE(SUBSTITUTE(Q242,"%",""))/100)</f>
        <v>0</v>
      </c>
      <c r="S242" t="s" s="17">
        <v>31</v>
      </c>
    </row>
    <row r="243" ht="16" customHeight="1">
      <c r="A243" s="15">
        <v>19</v>
      </c>
      <c r="B243" s="18"/>
      <c r="C243" s="28"/>
      <c r="D243" s="18"/>
      <c r="E243" s="18"/>
      <c r="F243" s="18"/>
      <c r="G243" s="25"/>
      <c r="H243" s="4"/>
      <c r="I243" s="29"/>
      <c r="J243" s="30"/>
      <c r="K243" s="18"/>
      <c r="L243" s="23" cm="1">
        <f t="array" ref="L243">_xlfn.IFERROR(VLOOKUP(D243,'Lookups'!$A$2:$C$17,2,FALSE),0)</f>
        <v>0</v>
      </c>
      <c r="M243" s="23" cm="1">
        <f t="array" ref="M243">K243*L243</f>
        <v>0</v>
      </c>
      <c r="N243" s="18"/>
      <c r="O243" s="23"/>
      <c r="P243" s="23" cm="1">
        <f t="array" ref="P243">N243*O243</f>
        <v>0</v>
      </c>
      <c r="Q243" t="s" s="17">
        <v>37</v>
      </c>
      <c r="R243" s="23" cm="1">
        <f t="array" ref="R243">(M243+P243)*(1+VALUE(SUBSTITUTE(Q243,"%",""))/100)</f>
        <v>0</v>
      </c>
      <c r="S243" t="s" s="17">
        <v>31</v>
      </c>
    </row>
    <row r="244" ht="16" customHeight="1">
      <c r="A244" s="15">
        <v>19</v>
      </c>
      <c r="B244" s="18"/>
      <c r="C244" s="28"/>
      <c r="D244" s="18"/>
      <c r="E244" s="18"/>
      <c r="F244" s="18"/>
      <c r="G244" s="25"/>
      <c r="H244" s="4"/>
      <c r="I244" s="29"/>
      <c r="J244" s="30"/>
      <c r="K244" s="18"/>
      <c r="L244" s="23" cm="1">
        <f t="array" ref="L244">_xlfn.IFERROR(VLOOKUP(D244,'Lookups'!$A$2:$C$17,2,FALSE),0)</f>
        <v>0</v>
      </c>
      <c r="M244" s="23" cm="1">
        <f t="array" ref="M244">K244*L244</f>
        <v>0</v>
      </c>
      <c r="N244" s="18"/>
      <c r="O244" s="23"/>
      <c r="P244" s="23" cm="1">
        <f t="array" ref="P244">N244*O244</f>
        <v>0</v>
      </c>
      <c r="Q244" t="s" s="17">
        <v>37</v>
      </c>
      <c r="R244" s="23" cm="1">
        <f t="array" ref="R244">(M244+P244)*(1+VALUE(SUBSTITUTE(Q244,"%",""))/100)</f>
        <v>0</v>
      </c>
      <c r="S244" t="s" s="17">
        <v>31</v>
      </c>
    </row>
    <row r="245" ht="16" customHeight="1">
      <c r="A245" s="15">
        <v>19</v>
      </c>
      <c r="B245" s="18"/>
      <c r="C245" s="28"/>
      <c r="D245" s="18"/>
      <c r="E245" s="18"/>
      <c r="F245" s="18"/>
      <c r="G245" s="25"/>
      <c r="H245" s="4"/>
      <c r="I245" s="29"/>
      <c r="J245" s="30"/>
      <c r="K245" s="18"/>
      <c r="L245" s="23" cm="1">
        <f t="array" ref="L245">_xlfn.IFERROR(VLOOKUP(D245,'Lookups'!$A$2:$C$17,2,FALSE),0)</f>
        <v>0</v>
      </c>
      <c r="M245" s="23" cm="1">
        <f t="array" ref="M245">K245*L245</f>
        <v>0</v>
      </c>
      <c r="N245" s="18"/>
      <c r="O245" s="23"/>
      <c r="P245" s="23" cm="1">
        <f t="array" ref="P245">N245*O245</f>
        <v>0</v>
      </c>
      <c r="Q245" t="s" s="17">
        <v>37</v>
      </c>
      <c r="R245" s="23" cm="1">
        <f t="array" ref="R245">(M245+P245)*(1+VALUE(SUBSTITUTE(Q245,"%",""))/100)</f>
        <v>0</v>
      </c>
      <c r="S245" t="s" s="17">
        <v>31</v>
      </c>
    </row>
    <row r="246" ht="16" customHeight="1">
      <c r="A246" s="15">
        <v>19</v>
      </c>
      <c r="B246" s="18"/>
      <c r="C246" s="28"/>
      <c r="D246" s="18"/>
      <c r="E246" s="18"/>
      <c r="F246" s="18"/>
      <c r="G246" s="25"/>
      <c r="H246" s="4"/>
      <c r="I246" s="29"/>
      <c r="J246" s="30"/>
      <c r="K246" s="18"/>
      <c r="L246" s="23" cm="1">
        <f t="array" ref="L246">_xlfn.IFERROR(VLOOKUP(D246,'Lookups'!$A$2:$C$17,2,FALSE),0)</f>
        <v>0</v>
      </c>
      <c r="M246" s="23" cm="1">
        <f t="array" ref="M246">K246*L246</f>
        <v>0</v>
      </c>
      <c r="N246" s="18"/>
      <c r="O246" s="23"/>
      <c r="P246" s="23" cm="1">
        <f t="array" ref="P246">N246*O246</f>
        <v>0</v>
      </c>
      <c r="Q246" t="s" s="17">
        <v>37</v>
      </c>
      <c r="R246" s="23" cm="1">
        <f t="array" ref="R246">(M246+P246)*(1+VALUE(SUBSTITUTE(Q246,"%",""))/100)</f>
        <v>0</v>
      </c>
      <c r="S246" t="s" s="17">
        <v>31</v>
      </c>
    </row>
    <row r="247" ht="16" customHeight="1">
      <c r="A247" s="15">
        <v>19</v>
      </c>
      <c r="B247" s="18"/>
      <c r="C247" s="28"/>
      <c r="D247" s="18"/>
      <c r="E247" s="18"/>
      <c r="F247" s="18"/>
      <c r="G247" s="25"/>
      <c r="H247" s="4"/>
      <c r="I247" s="29"/>
      <c r="J247" s="30"/>
      <c r="K247" s="18"/>
      <c r="L247" s="23" cm="1">
        <f t="array" ref="L247">_xlfn.IFERROR(VLOOKUP(D247,'Lookups'!$A$2:$C$17,2,FALSE),0)</f>
        <v>0</v>
      </c>
      <c r="M247" s="23" cm="1">
        <f t="array" ref="M247">K247*L247</f>
        <v>0</v>
      </c>
      <c r="N247" s="18"/>
      <c r="O247" s="23"/>
      <c r="P247" s="23" cm="1">
        <f t="array" ref="P247">N247*O247</f>
        <v>0</v>
      </c>
      <c r="Q247" t="s" s="17">
        <v>37</v>
      </c>
      <c r="R247" s="23" cm="1">
        <f t="array" ref="R247">(M247+P247)*(1+VALUE(SUBSTITUTE(Q247,"%",""))/100)</f>
        <v>0</v>
      </c>
      <c r="S247" t="s" s="17">
        <v>31</v>
      </c>
    </row>
    <row r="248" ht="16" customHeight="1">
      <c r="A248" s="15">
        <v>19</v>
      </c>
      <c r="B248" s="18"/>
      <c r="C248" s="28"/>
      <c r="D248" s="18"/>
      <c r="E248" s="18"/>
      <c r="F248" s="18"/>
      <c r="G248" s="25"/>
      <c r="H248" s="4"/>
      <c r="I248" s="29"/>
      <c r="J248" s="30"/>
      <c r="K248" s="18"/>
      <c r="L248" s="23" cm="1">
        <f t="array" ref="L248">_xlfn.IFERROR(VLOOKUP(D248,'Lookups'!$A$2:$C$17,2,FALSE),0)</f>
        <v>0</v>
      </c>
      <c r="M248" s="23" cm="1">
        <f t="array" ref="M248">K248*L248</f>
        <v>0</v>
      </c>
      <c r="N248" s="18"/>
      <c r="O248" s="23"/>
      <c r="P248" s="23" cm="1">
        <f t="array" ref="P248">N248*O248</f>
        <v>0</v>
      </c>
      <c r="Q248" t="s" s="17">
        <v>37</v>
      </c>
      <c r="R248" s="23" cm="1">
        <f t="array" ref="R248">(M248+P248)*(1+VALUE(SUBSTITUTE(Q248,"%",""))/100)</f>
        <v>0</v>
      </c>
      <c r="S248" t="s" s="17">
        <v>31</v>
      </c>
    </row>
    <row r="249" ht="16" customHeight="1">
      <c r="A249" s="15">
        <v>19</v>
      </c>
      <c r="B249" s="18"/>
      <c r="C249" s="28"/>
      <c r="D249" s="18"/>
      <c r="E249" s="18"/>
      <c r="F249" s="18"/>
      <c r="G249" s="25"/>
      <c r="H249" s="4"/>
      <c r="I249" s="29"/>
      <c r="J249" s="30"/>
      <c r="K249" s="18"/>
      <c r="L249" s="23" cm="1">
        <f t="array" ref="L249">_xlfn.IFERROR(VLOOKUP(D249,'Lookups'!$A$2:$C$17,2,FALSE),0)</f>
        <v>0</v>
      </c>
      <c r="M249" s="23" cm="1">
        <f t="array" ref="M249">K249*L249</f>
        <v>0</v>
      </c>
      <c r="N249" s="18"/>
      <c r="O249" s="23"/>
      <c r="P249" s="23" cm="1">
        <f t="array" ref="P249">N249*O249</f>
        <v>0</v>
      </c>
      <c r="Q249" t="s" s="17">
        <v>37</v>
      </c>
      <c r="R249" s="23" cm="1">
        <f t="array" ref="R249">(M249+P249)*(1+VALUE(SUBSTITUTE(Q249,"%",""))/100)</f>
        <v>0</v>
      </c>
      <c r="S249" t="s" s="17">
        <v>31</v>
      </c>
    </row>
    <row r="250" ht="16" customHeight="1">
      <c r="A250" s="15">
        <v>19</v>
      </c>
      <c r="B250" s="18"/>
      <c r="C250" s="28"/>
      <c r="D250" s="18"/>
      <c r="E250" s="18"/>
      <c r="F250" s="18"/>
      <c r="G250" s="25"/>
      <c r="H250" s="4"/>
      <c r="I250" s="29"/>
      <c r="J250" s="30"/>
      <c r="K250" s="18"/>
      <c r="L250" s="23" cm="1">
        <f t="array" ref="L250">_xlfn.IFERROR(VLOOKUP(D250,'Lookups'!$A$2:$C$17,2,FALSE),0)</f>
        <v>0</v>
      </c>
      <c r="M250" s="23" cm="1">
        <f t="array" ref="M250">K250*L250</f>
        <v>0</v>
      </c>
      <c r="N250" s="18"/>
      <c r="O250" s="23"/>
      <c r="P250" s="23" cm="1">
        <f t="array" ref="P250">N250*O250</f>
        <v>0</v>
      </c>
      <c r="Q250" t="s" s="17">
        <v>37</v>
      </c>
      <c r="R250" s="23" cm="1">
        <f t="array" ref="R250">(M250+P250)*(1+VALUE(SUBSTITUTE(Q250,"%",""))/100)</f>
        <v>0</v>
      </c>
      <c r="S250" t="s" s="17">
        <v>31</v>
      </c>
    </row>
    <row r="251" ht="16" customHeight="1">
      <c r="A251" s="15">
        <v>19</v>
      </c>
      <c r="B251" s="18"/>
      <c r="C251" s="28"/>
      <c r="D251" s="18"/>
      <c r="E251" s="18"/>
      <c r="F251" s="18"/>
      <c r="G251" s="25"/>
      <c r="H251" s="4"/>
      <c r="I251" s="29"/>
      <c r="J251" s="30"/>
      <c r="K251" s="18"/>
      <c r="L251" s="23" cm="1">
        <f t="array" ref="L251">_xlfn.IFERROR(VLOOKUP(D251,'Lookups'!$A$2:$C$17,2,FALSE),0)</f>
        <v>0</v>
      </c>
      <c r="M251" s="23" cm="1">
        <f t="array" ref="M251">K251*L251</f>
        <v>0</v>
      </c>
      <c r="N251" s="18"/>
      <c r="O251" s="23"/>
      <c r="P251" s="23" cm="1">
        <f t="array" ref="P251">N251*O251</f>
        <v>0</v>
      </c>
      <c r="Q251" t="s" s="17">
        <v>37</v>
      </c>
      <c r="R251" s="23" cm="1">
        <f t="array" ref="R251">(M251+P251)*(1+VALUE(SUBSTITUTE(Q251,"%",""))/100)</f>
        <v>0</v>
      </c>
      <c r="S251" t="s" s="17">
        <v>31</v>
      </c>
    </row>
    <row r="252" ht="16" customHeight="1">
      <c r="A252" s="15">
        <v>19</v>
      </c>
      <c r="B252" s="18"/>
      <c r="C252" s="28"/>
      <c r="D252" s="18"/>
      <c r="E252" s="18"/>
      <c r="F252" s="18"/>
      <c r="G252" s="31"/>
      <c r="H252" s="9"/>
      <c r="I252" s="32"/>
      <c r="J252" s="33"/>
      <c r="K252" s="18"/>
      <c r="L252" s="23" cm="1">
        <f t="array" ref="L252">_xlfn.IFERROR(VLOOKUP(D252,'Lookups'!$A$2:$C$17,2,FALSE),0)</f>
        <v>0</v>
      </c>
      <c r="M252" s="23" cm="1">
        <f t="array" ref="M252">K252*L252</f>
        <v>0</v>
      </c>
      <c r="N252" s="18"/>
      <c r="O252" s="23"/>
      <c r="P252" s="23" cm="1">
        <f t="array" ref="P252">N252*O252</f>
        <v>0</v>
      </c>
      <c r="Q252" t="s" s="17">
        <v>37</v>
      </c>
      <c r="R252" s="23" cm="1">
        <f t="array" ref="R252">(M252+P252)*(1+VALUE(SUBSTITUTE(Q252,"%",""))/100)</f>
        <v>0</v>
      </c>
      <c r="S252" t="s" s="17">
        <v>31</v>
      </c>
    </row>
    <row r="253" ht="16" customHeight="1">
      <c r="A253" t="s" s="11">
        <v>93</v>
      </c>
      <c r="B253" s="12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4"/>
      <c r="P253" s="12"/>
      <c r="Q253" s="13"/>
      <c r="R253" s="13"/>
      <c r="S253" s="14"/>
    </row>
    <row r="254" ht="16" customHeight="1">
      <c r="A254" s="15">
        <v>20</v>
      </c>
      <c r="B254" s="18"/>
      <c r="C254" s="28"/>
      <c r="D254" s="18"/>
      <c r="E254" s="18"/>
      <c r="F254" s="18"/>
      <c r="G254" s="19"/>
      <c r="H254" s="20"/>
      <c r="I254" s="36"/>
      <c r="J254" s="37"/>
      <c r="K254" s="18"/>
      <c r="L254" s="23" cm="1">
        <f t="array" ref="L254">_xlfn.IFERROR(VLOOKUP(D254,'Lookups'!$A$2:$C$17,2,FALSE),0)</f>
        <v>0</v>
      </c>
      <c r="M254" s="23" cm="1">
        <f t="array" ref="M254">K254*L254</f>
        <v>0</v>
      </c>
      <c r="N254" s="18"/>
      <c r="O254" s="23"/>
      <c r="P254" s="23" cm="1">
        <f t="array" ref="P254">N254*O254</f>
        <v>0</v>
      </c>
      <c r="Q254" t="s" s="17">
        <v>37</v>
      </c>
      <c r="R254" s="23" cm="1">
        <f t="array" ref="R254">(M254+P254)*(1+VALUE(SUBSTITUTE(Q254,"%",""))/100)</f>
        <v>0</v>
      </c>
      <c r="S254" t="s" s="17">
        <v>31</v>
      </c>
    </row>
    <row r="255" ht="16" customHeight="1">
      <c r="A255" s="15">
        <v>20</v>
      </c>
      <c r="B255" s="18"/>
      <c r="C255" s="28"/>
      <c r="D255" s="18"/>
      <c r="E255" s="18"/>
      <c r="F255" s="18"/>
      <c r="G255" s="25"/>
      <c r="H255" s="4"/>
      <c r="I255" s="29"/>
      <c r="J255" s="30"/>
      <c r="K255" s="18"/>
      <c r="L255" s="23" cm="1">
        <f t="array" ref="L255">_xlfn.IFERROR(VLOOKUP(D255,'Lookups'!$A$2:$C$17,2,FALSE),0)</f>
        <v>0</v>
      </c>
      <c r="M255" s="23" cm="1">
        <f t="array" ref="M255">K255*L255</f>
        <v>0</v>
      </c>
      <c r="N255" s="18"/>
      <c r="O255" s="23"/>
      <c r="P255" s="23" cm="1">
        <f t="array" ref="P255">N255*O255</f>
        <v>0</v>
      </c>
      <c r="Q255" t="s" s="17">
        <v>37</v>
      </c>
      <c r="R255" s="23" cm="1">
        <f t="array" ref="R255">(M255+P255)*(1+VALUE(SUBSTITUTE(Q255,"%",""))/100)</f>
        <v>0</v>
      </c>
      <c r="S255" t="s" s="17">
        <v>31</v>
      </c>
    </row>
    <row r="256" ht="16" customHeight="1">
      <c r="A256" s="15">
        <v>20</v>
      </c>
      <c r="B256" s="18"/>
      <c r="C256" s="28"/>
      <c r="D256" s="18"/>
      <c r="E256" s="18"/>
      <c r="F256" s="18"/>
      <c r="G256" s="25"/>
      <c r="H256" s="4"/>
      <c r="I256" s="29"/>
      <c r="J256" s="30"/>
      <c r="K256" s="18"/>
      <c r="L256" s="23" cm="1">
        <f t="array" ref="L256">_xlfn.IFERROR(VLOOKUP(D256,'Lookups'!$A$2:$C$17,2,FALSE),0)</f>
        <v>0</v>
      </c>
      <c r="M256" s="23" cm="1">
        <f t="array" ref="M256">K256*L256</f>
        <v>0</v>
      </c>
      <c r="N256" s="18"/>
      <c r="O256" s="23"/>
      <c r="P256" s="23" cm="1">
        <f t="array" ref="P256">N256*O256</f>
        <v>0</v>
      </c>
      <c r="Q256" t="s" s="17">
        <v>37</v>
      </c>
      <c r="R256" s="23" cm="1">
        <f t="array" ref="R256">(M256+P256)*(1+VALUE(SUBSTITUTE(Q256,"%",""))/100)</f>
        <v>0</v>
      </c>
      <c r="S256" t="s" s="17">
        <v>31</v>
      </c>
    </row>
    <row r="257" ht="16" customHeight="1">
      <c r="A257" s="15">
        <v>20</v>
      </c>
      <c r="B257" s="18"/>
      <c r="C257" s="28"/>
      <c r="D257" s="18"/>
      <c r="E257" s="18"/>
      <c r="F257" s="18"/>
      <c r="G257" s="25"/>
      <c r="H257" s="4"/>
      <c r="I257" s="29"/>
      <c r="J257" s="30"/>
      <c r="K257" s="18"/>
      <c r="L257" s="23" cm="1">
        <f t="array" ref="L257">_xlfn.IFERROR(VLOOKUP(D257,'Lookups'!$A$2:$C$17,2,FALSE),0)</f>
        <v>0</v>
      </c>
      <c r="M257" s="23" cm="1">
        <f t="array" ref="M257">K257*L257</f>
        <v>0</v>
      </c>
      <c r="N257" s="18"/>
      <c r="O257" s="23"/>
      <c r="P257" s="23" cm="1">
        <f t="array" ref="P257">N257*O257</f>
        <v>0</v>
      </c>
      <c r="Q257" t="s" s="17">
        <v>37</v>
      </c>
      <c r="R257" s="23" cm="1">
        <f t="array" ref="R257">(M257+P257)*(1+VALUE(SUBSTITUTE(Q257,"%",""))/100)</f>
        <v>0</v>
      </c>
      <c r="S257" t="s" s="17">
        <v>31</v>
      </c>
    </row>
    <row r="258" ht="16" customHeight="1">
      <c r="A258" s="15">
        <v>20</v>
      </c>
      <c r="B258" s="18"/>
      <c r="C258" s="28"/>
      <c r="D258" s="18"/>
      <c r="E258" s="18"/>
      <c r="F258" s="18"/>
      <c r="G258" s="25"/>
      <c r="H258" s="4"/>
      <c r="I258" s="29"/>
      <c r="J258" s="30"/>
      <c r="K258" s="18"/>
      <c r="L258" s="23" cm="1">
        <f t="array" ref="L258">_xlfn.IFERROR(VLOOKUP(D258,'Lookups'!$A$2:$C$17,2,FALSE),0)</f>
        <v>0</v>
      </c>
      <c r="M258" s="23" cm="1">
        <f t="array" ref="M258">K258*L258</f>
        <v>0</v>
      </c>
      <c r="N258" s="18"/>
      <c r="O258" s="23"/>
      <c r="P258" s="23" cm="1">
        <f t="array" ref="P258">N258*O258</f>
        <v>0</v>
      </c>
      <c r="Q258" t="s" s="17">
        <v>37</v>
      </c>
      <c r="R258" s="23" cm="1">
        <f t="array" ref="R258">(M258+P258)*(1+VALUE(SUBSTITUTE(Q258,"%",""))/100)</f>
        <v>0</v>
      </c>
      <c r="S258" t="s" s="17">
        <v>31</v>
      </c>
    </row>
    <row r="259" ht="16" customHeight="1">
      <c r="A259" s="15">
        <v>20</v>
      </c>
      <c r="B259" s="18"/>
      <c r="C259" s="28"/>
      <c r="D259" s="18"/>
      <c r="E259" s="18"/>
      <c r="F259" s="18"/>
      <c r="G259" s="25"/>
      <c r="H259" s="4"/>
      <c r="I259" s="29"/>
      <c r="J259" s="30"/>
      <c r="K259" s="18"/>
      <c r="L259" s="23" cm="1">
        <f t="array" ref="L259">_xlfn.IFERROR(VLOOKUP(D259,'Lookups'!$A$2:$C$17,2,FALSE),0)</f>
        <v>0</v>
      </c>
      <c r="M259" s="23" cm="1">
        <f t="array" ref="M259">K259*L259</f>
        <v>0</v>
      </c>
      <c r="N259" s="18"/>
      <c r="O259" s="23"/>
      <c r="P259" s="23" cm="1">
        <f t="array" ref="P259">N259*O259</f>
        <v>0</v>
      </c>
      <c r="Q259" t="s" s="17">
        <v>37</v>
      </c>
      <c r="R259" s="23" cm="1">
        <f t="array" ref="R259">(M259+P259)*(1+VALUE(SUBSTITUTE(Q259,"%",""))/100)</f>
        <v>0</v>
      </c>
      <c r="S259" t="s" s="17">
        <v>31</v>
      </c>
    </row>
    <row r="260" ht="16" customHeight="1">
      <c r="A260" s="15">
        <v>20</v>
      </c>
      <c r="B260" s="18"/>
      <c r="C260" s="28"/>
      <c r="D260" s="18"/>
      <c r="E260" s="18"/>
      <c r="F260" s="18"/>
      <c r="G260" s="25"/>
      <c r="H260" s="4"/>
      <c r="I260" s="29"/>
      <c r="J260" s="30"/>
      <c r="K260" s="18"/>
      <c r="L260" s="23" cm="1">
        <f t="array" ref="L260">_xlfn.IFERROR(VLOOKUP(D260,'Lookups'!$A$2:$C$17,2,FALSE),0)</f>
        <v>0</v>
      </c>
      <c r="M260" s="23" cm="1">
        <f t="array" ref="M260">K260*L260</f>
        <v>0</v>
      </c>
      <c r="N260" s="18"/>
      <c r="O260" s="23"/>
      <c r="P260" s="23" cm="1">
        <f t="array" ref="P260">N260*O260</f>
        <v>0</v>
      </c>
      <c r="Q260" t="s" s="17">
        <v>37</v>
      </c>
      <c r="R260" s="23" cm="1">
        <f t="array" ref="R260">(M260+P260)*(1+VALUE(SUBSTITUTE(Q260,"%",""))/100)</f>
        <v>0</v>
      </c>
      <c r="S260" t="s" s="17">
        <v>31</v>
      </c>
    </row>
    <row r="261" ht="16" customHeight="1">
      <c r="A261" s="15">
        <v>20</v>
      </c>
      <c r="B261" s="18"/>
      <c r="C261" s="28"/>
      <c r="D261" s="18"/>
      <c r="E261" s="18"/>
      <c r="F261" s="18"/>
      <c r="G261" s="25"/>
      <c r="H261" s="4"/>
      <c r="I261" s="29"/>
      <c r="J261" s="30"/>
      <c r="K261" s="18"/>
      <c r="L261" s="23" cm="1">
        <f t="array" ref="L261">_xlfn.IFERROR(VLOOKUP(D261,'Lookups'!$A$2:$C$17,2,FALSE),0)</f>
        <v>0</v>
      </c>
      <c r="M261" s="23" cm="1">
        <f t="array" ref="M261">K261*L261</f>
        <v>0</v>
      </c>
      <c r="N261" s="18"/>
      <c r="O261" s="23"/>
      <c r="P261" s="23" cm="1">
        <f t="array" ref="P261">N261*O261</f>
        <v>0</v>
      </c>
      <c r="Q261" t="s" s="17">
        <v>37</v>
      </c>
      <c r="R261" s="23" cm="1">
        <f t="array" ref="R261">(M261+P261)*(1+VALUE(SUBSTITUTE(Q261,"%",""))/100)</f>
        <v>0</v>
      </c>
      <c r="S261" t="s" s="17">
        <v>31</v>
      </c>
    </row>
    <row r="262" ht="16" customHeight="1">
      <c r="A262" s="15">
        <v>20</v>
      </c>
      <c r="B262" s="18"/>
      <c r="C262" s="28"/>
      <c r="D262" s="18"/>
      <c r="E262" s="18"/>
      <c r="F262" s="18"/>
      <c r="G262" s="25"/>
      <c r="H262" s="4"/>
      <c r="I262" s="29"/>
      <c r="J262" s="30"/>
      <c r="K262" s="18"/>
      <c r="L262" s="23" cm="1">
        <f t="array" ref="L262">_xlfn.IFERROR(VLOOKUP(D262,'Lookups'!$A$2:$C$17,2,FALSE),0)</f>
        <v>0</v>
      </c>
      <c r="M262" s="23" cm="1">
        <f t="array" ref="M262">K262*L262</f>
        <v>0</v>
      </c>
      <c r="N262" s="18"/>
      <c r="O262" s="23"/>
      <c r="P262" s="23" cm="1">
        <f t="array" ref="P262">N262*O262</f>
        <v>0</v>
      </c>
      <c r="Q262" t="s" s="17">
        <v>37</v>
      </c>
      <c r="R262" s="23" cm="1">
        <f t="array" ref="R262">(M262+P262)*(1+VALUE(SUBSTITUTE(Q262,"%",""))/100)</f>
        <v>0</v>
      </c>
      <c r="S262" t="s" s="17">
        <v>31</v>
      </c>
    </row>
    <row r="263" ht="16" customHeight="1">
      <c r="A263" s="15">
        <v>20</v>
      </c>
      <c r="B263" s="18"/>
      <c r="C263" s="28"/>
      <c r="D263" s="18"/>
      <c r="E263" s="18"/>
      <c r="F263" s="18"/>
      <c r="G263" s="25"/>
      <c r="H263" s="4"/>
      <c r="I263" s="29"/>
      <c r="J263" s="30"/>
      <c r="K263" s="18"/>
      <c r="L263" s="23" cm="1">
        <f t="array" ref="L263">_xlfn.IFERROR(VLOOKUP(D263,'Lookups'!$A$2:$C$17,2,FALSE),0)</f>
        <v>0</v>
      </c>
      <c r="M263" s="23" cm="1">
        <f t="array" ref="M263">K263*L263</f>
        <v>0</v>
      </c>
      <c r="N263" s="18"/>
      <c r="O263" s="23"/>
      <c r="P263" s="23" cm="1">
        <f t="array" ref="P263">N263*O263</f>
        <v>0</v>
      </c>
      <c r="Q263" t="s" s="17">
        <v>37</v>
      </c>
      <c r="R263" s="23" cm="1">
        <f t="array" ref="R263">(M263+P263)*(1+VALUE(SUBSTITUTE(Q263,"%",""))/100)</f>
        <v>0</v>
      </c>
      <c r="S263" t="s" s="17">
        <v>31</v>
      </c>
    </row>
    <row r="264" ht="16" customHeight="1">
      <c r="A264" s="15">
        <v>20</v>
      </c>
      <c r="B264" s="18"/>
      <c r="C264" s="28"/>
      <c r="D264" s="18"/>
      <c r="E264" s="18"/>
      <c r="F264" s="18"/>
      <c r="G264" s="25"/>
      <c r="H264" s="4"/>
      <c r="I264" s="29"/>
      <c r="J264" s="30"/>
      <c r="K264" s="18"/>
      <c r="L264" s="23" cm="1">
        <f t="array" ref="L264">_xlfn.IFERROR(VLOOKUP(D264,'Lookups'!$A$2:$C$17,2,FALSE),0)</f>
        <v>0</v>
      </c>
      <c r="M264" s="23" cm="1">
        <f t="array" ref="M264">K264*L264</f>
        <v>0</v>
      </c>
      <c r="N264" s="18"/>
      <c r="O264" s="23"/>
      <c r="P264" s="23" cm="1">
        <f t="array" ref="P264">N264*O264</f>
        <v>0</v>
      </c>
      <c r="Q264" t="s" s="17">
        <v>37</v>
      </c>
      <c r="R264" s="23" cm="1">
        <f t="array" ref="R264">(M264+P264)*(1+VALUE(SUBSTITUTE(Q264,"%",""))/100)</f>
        <v>0</v>
      </c>
      <c r="S264" t="s" s="17">
        <v>31</v>
      </c>
    </row>
    <row r="265" ht="16" customHeight="1">
      <c r="A265" s="15">
        <v>20</v>
      </c>
      <c r="B265" s="18"/>
      <c r="C265" s="28"/>
      <c r="D265" s="18"/>
      <c r="E265" s="18"/>
      <c r="F265" s="18"/>
      <c r="G265" s="31"/>
      <c r="H265" s="9"/>
      <c r="I265" s="32"/>
      <c r="J265" s="33"/>
      <c r="K265" s="18"/>
      <c r="L265" s="23" cm="1">
        <f t="array" ref="L265">_xlfn.IFERROR(VLOOKUP(D265,'Lookups'!$A$2:$C$17,2,FALSE),0)</f>
        <v>0</v>
      </c>
      <c r="M265" s="23" cm="1">
        <f t="array" ref="M265">K265*L265</f>
        <v>0</v>
      </c>
      <c r="N265" s="18"/>
      <c r="O265" s="23"/>
      <c r="P265" s="23" cm="1">
        <f t="array" ref="P265">N265*O265</f>
        <v>0</v>
      </c>
      <c r="Q265" t="s" s="17">
        <v>44</v>
      </c>
      <c r="R265" s="23" cm="1">
        <f t="array" ref="R265">(M265+P265)*(1+VALUE(SUBSTITUTE(Q265,"%",""))/100)</f>
        <v>0</v>
      </c>
      <c r="S265" t="s" s="17">
        <v>31</v>
      </c>
    </row>
    <row r="266" ht="16" customHeight="1">
      <c r="A266" t="s" s="11">
        <v>94</v>
      </c>
      <c r="B266" s="12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4"/>
      <c r="P266" s="12"/>
      <c r="Q266" s="13"/>
      <c r="R266" s="13"/>
      <c r="S266" s="14"/>
    </row>
    <row r="267" ht="16" customHeight="1">
      <c r="A267" s="15">
        <v>21</v>
      </c>
      <c r="B267" s="18"/>
      <c r="C267" s="28"/>
      <c r="D267" s="18"/>
      <c r="E267" s="18"/>
      <c r="F267" s="18"/>
      <c r="G267" s="19"/>
      <c r="H267" s="20"/>
      <c r="I267" s="36"/>
      <c r="J267" s="37"/>
      <c r="K267" s="18"/>
      <c r="L267" s="23" cm="1">
        <f t="array" ref="L267">_xlfn.IFERROR(VLOOKUP(D267,'Lookups'!$A$2:$C$17,2,FALSE),0)</f>
        <v>0</v>
      </c>
      <c r="M267" s="23" cm="1">
        <f t="array" ref="M267">K267*L267</f>
        <v>0</v>
      </c>
      <c r="N267" s="18"/>
      <c r="O267" s="23"/>
      <c r="P267" s="23" cm="1">
        <f t="array" ref="P267">N267*O267</f>
        <v>0</v>
      </c>
      <c r="Q267" t="s" s="17">
        <v>37</v>
      </c>
      <c r="R267" s="23" cm="1">
        <f t="array" ref="R267">(M267+P267)*(1+VALUE(SUBSTITUTE(Q267,"%",""))/100)</f>
        <v>0</v>
      </c>
      <c r="S267" t="s" s="17">
        <v>31</v>
      </c>
    </row>
    <row r="268" ht="16" customHeight="1">
      <c r="A268" s="15">
        <v>21</v>
      </c>
      <c r="B268" s="18"/>
      <c r="C268" s="28"/>
      <c r="D268" s="18"/>
      <c r="E268" s="18"/>
      <c r="F268" s="18"/>
      <c r="G268" s="25"/>
      <c r="H268" s="4"/>
      <c r="I268" s="29"/>
      <c r="J268" s="30"/>
      <c r="K268" s="18"/>
      <c r="L268" s="23" cm="1">
        <f t="array" ref="L268">_xlfn.IFERROR(VLOOKUP(D268,'Lookups'!$A$2:$C$17,2,FALSE),0)</f>
        <v>0</v>
      </c>
      <c r="M268" s="23" cm="1">
        <f t="array" ref="M268">K268*L268</f>
        <v>0</v>
      </c>
      <c r="N268" s="18"/>
      <c r="O268" s="23"/>
      <c r="P268" s="23" cm="1">
        <f t="array" ref="P268">N268*O268</f>
        <v>0</v>
      </c>
      <c r="Q268" t="s" s="17">
        <v>37</v>
      </c>
      <c r="R268" s="23" cm="1">
        <f t="array" ref="R268">(M268+P268)*(1+VALUE(SUBSTITUTE(Q268,"%",""))/100)</f>
        <v>0</v>
      </c>
      <c r="S268" t="s" s="17">
        <v>31</v>
      </c>
    </row>
    <row r="269" ht="16" customHeight="1">
      <c r="A269" s="15">
        <v>21</v>
      </c>
      <c r="B269" s="18"/>
      <c r="C269" s="28"/>
      <c r="D269" s="18"/>
      <c r="E269" s="18"/>
      <c r="F269" s="18"/>
      <c r="G269" s="25"/>
      <c r="H269" s="4"/>
      <c r="I269" s="29"/>
      <c r="J269" s="30"/>
      <c r="K269" s="18"/>
      <c r="L269" s="23" cm="1">
        <f t="array" ref="L269">_xlfn.IFERROR(VLOOKUP(D269,'Lookups'!$A$2:$C$17,2,FALSE),0)</f>
        <v>0</v>
      </c>
      <c r="M269" s="23" cm="1">
        <f t="array" ref="M269">K269*L269</f>
        <v>0</v>
      </c>
      <c r="N269" s="18"/>
      <c r="O269" s="23"/>
      <c r="P269" s="23" cm="1">
        <f t="array" ref="P269">N269*O269</f>
        <v>0</v>
      </c>
      <c r="Q269" t="s" s="17">
        <v>37</v>
      </c>
      <c r="R269" s="23" cm="1">
        <f t="array" ref="R269">(M269+P269)*(1+VALUE(SUBSTITUTE(Q269,"%",""))/100)</f>
        <v>0</v>
      </c>
      <c r="S269" t="s" s="17">
        <v>31</v>
      </c>
    </row>
    <row r="270" ht="16" customHeight="1">
      <c r="A270" s="15">
        <v>21</v>
      </c>
      <c r="B270" s="18"/>
      <c r="C270" s="28"/>
      <c r="D270" s="18"/>
      <c r="E270" s="18"/>
      <c r="F270" s="18"/>
      <c r="G270" s="25"/>
      <c r="H270" s="4"/>
      <c r="I270" s="29"/>
      <c r="J270" s="30"/>
      <c r="K270" s="18"/>
      <c r="L270" s="23" cm="1">
        <f t="array" ref="L270">_xlfn.IFERROR(VLOOKUP(D270,'Lookups'!$A$2:$C$17,2,FALSE),0)</f>
        <v>0</v>
      </c>
      <c r="M270" s="23" cm="1">
        <f t="array" ref="M270">K270*L270</f>
        <v>0</v>
      </c>
      <c r="N270" s="18"/>
      <c r="O270" s="23"/>
      <c r="P270" s="23" cm="1">
        <f t="array" ref="P270">N270*O270</f>
        <v>0</v>
      </c>
      <c r="Q270" t="s" s="17">
        <v>37</v>
      </c>
      <c r="R270" s="23" cm="1">
        <f t="array" ref="R270">(M270+P270)*(1+VALUE(SUBSTITUTE(Q270,"%",""))/100)</f>
        <v>0</v>
      </c>
      <c r="S270" t="s" s="17">
        <v>31</v>
      </c>
    </row>
    <row r="271" ht="16" customHeight="1">
      <c r="A271" s="15">
        <v>21</v>
      </c>
      <c r="B271" s="18"/>
      <c r="C271" s="28"/>
      <c r="D271" s="18"/>
      <c r="E271" s="18"/>
      <c r="F271" s="18"/>
      <c r="G271" s="25"/>
      <c r="H271" s="4"/>
      <c r="I271" s="29"/>
      <c r="J271" s="30"/>
      <c r="K271" s="18"/>
      <c r="L271" s="23" cm="1">
        <f t="array" ref="L271">_xlfn.IFERROR(VLOOKUP(D271,'Lookups'!$A$2:$C$17,2,FALSE),0)</f>
        <v>0</v>
      </c>
      <c r="M271" s="23" cm="1">
        <f t="array" ref="M271">K271*L271</f>
        <v>0</v>
      </c>
      <c r="N271" s="18"/>
      <c r="O271" s="23"/>
      <c r="P271" s="23" cm="1">
        <f t="array" ref="P271">N271*O271</f>
        <v>0</v>
      </c>
      <c r="Q271" t="s" s="17">
        <v>37</v>
      </c>
      <c r="R271" s="23" cm="1">
        <f t="array" ref="R271">(M271+P271)*(1+VALUE(SUBSTITUTE(Q271,"%",""))/100)</f>
        <v>0</v>
      </c>
      <c r="S271" t="s" s="17">
        <v>31</v>
      </c>
    </row>
    <row r="272" ht="16" customHeight="1">
      <c r="A272" s="15">
        <v>21</v>
      </c>
      <c r="B272" s="18"/>
      <c r="C272" s="28"/>
      <c r="D272" s="18"/>
      <c r="E272" s="18"/>
      <c r="F272" s="18"/>
      <c r="G272" s="25"/>
      <c r="H272" s="4"/>
      <c r="I272" s="29"/>
      <c r="J272" s="30"/>
      <c r="K272" s="18"/>
      <c r="L272" s="23" cm="1">
        <f t="array" ref="L272">_xlfn.IFERROR(VLOOKUP(D272,'Lookups'!$A$2:$C$17,2,FALSE),0)</f>
        <v>0</v>
      </c>
      <c r="M272" s="23" cm="1">
        <f t="array" ref="M272">K272*L272</f>
        <v>0</v>
      </c>
      <c r="N272" s="18"/>
      <c r="O272" s="23"/>
      <c r="P272" s="23" cm="1">
        <f t="array" ref="P272">N272*O272</f>
        <v>0</v>
      </c>
      <c r="Q272" t="s" s="17">
        <v>37</v>
      </c>
      <c r="R272" s="23" cm="1">
        <f t="array" ref="R272">(M272+P272)*(1+VALUE(SUBSTITUTE(Q272,"%",""))/100)</f>
        <v>0</v>
      </c>
      <c r="S272" t="s" s="17">
        <v>31</v>
      </c>
    </row>
    <row r="273" ht="16" customHeight="1">
      <c r="A273" s="15">
        <v>21</v>
      </c>
      <c r="B273" s="18"/>
      <c r="C273" s="28"/>
      <c r="D273" s="18"/>
      <c r="E273" s="18"/>
      <c r="F273" s="18"/>
      <c r="G273" s="25"/>
      <c r="H273" s="4"/>
      <c r="I273" s="29"/>
      <c r="J273" s="30"/>
      <c r="K273" s="18"/>
      <c r="L273" s="23" cm="1">
        <f t="array" ref="L273">_xlfn.IFERROR(VLOOKUP(D273,'Lookups'!$A$2:$C$17,2,FALSE),0)</f>
        <v>0</v>
      </c>
      <c r="M273" s="23" cm="1">
        <f t="array" ref="M273">K273*L273</f>
        <v>0</v>
      </c>
      <c r="N273" s="18"/>
      <c r="O273" s="23"/>
      <c r="P273" s="23" cm="1">
        <f t="array" ref="P273">N273*O273</f>
        <v>0</v>
      </c>
      <c r="Q273" t="s" s="17">
        <v>37</v>
      </c>
      <c r="R273" s="23" cm="1">
        <f t="array" ref="R273">(M273+P273)*(1+VALUE(SUBSTITUTE(Q273,"%",""))/100)</f>
        <v>0</v>
      </c>
      <c r="S273" t="s" s="17">
        <v>31</v>
      </c>
    </row>
    <row r="274" ht="16" customHeight="1">
      <c r="A274" s="15">
        <v>21</v>
      </c>
      <c r="B274" s="18"/>
      <c r="C274" s="28"/>
      <c r="D274" s="18"/>
      <c r="E274" s="18"/>
      <c r="F274" s="18"/>
      <c r="G274" s="25"/>
      <c r="H274" s="4"/>
      <c r="I274" s="29"/>
      <c r="J274" s="30"/>
      <c r="K274" s="18"/>
      <c r="L274" s="23" cm="1">
        <f t="array" ref="L274">_xlfn.IFERROR(VLOOKUP(D274,'Lookups'!$A$2:$C$17,2,FALSE),0)</f>
        <v>0</v>
      </c>
      <c r="M274" s="23" cm="1">
        <f t="array" ref="M274">K274*L274</f>
        <v>0</v>
      </c>
      <c r="N274" s="18"/>
      <c r="O274" s="23"/>
      <c r="P274" s="23" cm="1">
        <f t="array" ref="P274">N274*O274</f>
        <v>0</v>
      </c>
      <c r="Q274" t="s" s="17">
        <v>37</v>
      </c>
      <c r="R274" s="23" cm="1">
        <f t="array" ref="R274">(M274+P274)*(1+VALUE(SUBSTITUTE(Q274,"%",""))/100)</f>
        <v>0</v>
      </c>
      <c r="S274" t="s" s="17">
        <v>31</v>
      </c>
    </row>
    <row r="275" ht="16" customHeight="1">
      <c r="A275" s="15">
        <v>21</v>
      </c>
      <c r="B275" s="18"/>
      <c r="C275" s="28"/>
      <c r="D275" s="18"/>
      <c r="E275" s="18"/>
      <c r="F275" s="18"/>
      <c r="G275" s="25"/>
      <c r="H275" s="4"/>
      <c r="I275" s="29"/>
      <c r="J275" s="30"/>
      <c r="K275" s="18"/>
      <c r="L275" s="23" cm="1">
        <f t="array" ref="L275">_xlfn.IFERROR(VLOOKUP(D275,'Lookups'!$A$2:$C$17,2,FALSE),0)</f>
        <v>0</v>
      </c>
      <c r="M275" s="23" cm="1">
        <f t="array" ref="M275">K275*L275</f>
        <v>0</v>
      </c>
      <c r="N275" s="18"/>
      <c r="O275" s="23"/>
      <c r="P275" s="23" cm="1">
        <f t="array" ref="P275">N275*O275</f>
        <v>0</v>
      </c>
      <c r="Q275" t="s" s="17">
        <v>37</v>
      </c>
      <c r="R275" s="23" cm="1">
        <f t="array" ref="R275">(M275+P275)*(1+VALUE(SUBSTITUTE(Q275,"%",""))/100)</f>
        <v>0</v>
      </c>
      <c r="S275" t="s" s="17">
        <v>31</v>
      </c>
    </row>
    <row r="276" ht="16" customHeight="1">
      <c r="A276" s="15">
        <v>21</v>
      </c>
      <c r="B276" s="18"/>
      <c r="C276" s="28"/>
      <c r="D276" s="18"/>
      <c r="E276" s="18"/>
      <c r="F276" s="18"/>
      <c r="G276" s="25"/>
      <c r="H276" s="4"/>
      <c r="I276" s="29"/>
      <c r="J276" s="30"/>
      <c r="K276" s="18"/>
      <c r="L276" s="23" cm="1">
        <f t="array" ref="L276">_xlfn.IFERROR(VLOOKUP(D276,'Lookups'!$A$2:$C$17,2,FALSE),0)</f>
        <v>0</v>
      </c>
      <c r="M276" s="23" cm="1">
        <f t="array" ref="M276">K276*L276</f>
        <v>0</v>
      </c>
      <c r="N276" s="18"/>
      <c r="O276" s="23"/>
      <c r="P276" s="23" cm="1">
        <f t="array" ref="P276">N276*O276</f>
        <v>0</v>
      </c>
      <c r="Q276" t="s" s="17">
        <v>37</v>
      </c>
      <c r="R276" s="23" cm="1">
        <f t="array" ref="R276">(M276+P276)*(1+VALUE(SUBSTITUTE(Q276,"%",""))/100)</f>
        <v>0</v>
      </c>
      <c r="S276" t="s" s="17">
        <v>31</v>
      </c>
    </row>
    <row r="277" ht="16" customHeight="1">
      <c r="A277" s="15">
        <v>21</v>
      </c>
      <c r="B277" s="18"/>
      <c r="C277" s="28"/>
      <c r="D277" s="18"/>
      <c r="E277" s="18"/>
      <c r="F277" s="18"/>
      <c r="G277" s="25"/>
      <c r="H277" s="4"/>
      <c r="I277" s="29"/>
      <c r="J277" s="30"/>
      <c r="K277" s="18"/>
      <c r="L277" s="23" cm="1">
        <f t="array" ref="L277">_xlfn.IFERROR(VLOOKUP(D277,'Lookups'!$A$2:$C$17,2,FALSE),0)</f>
        <v>0</v>
      </c>
      <c r="M277" s="23" cm="1">
        <f t="array" ref="M277">K277*L277</f>
        <v>0</v>
      </c>
      <c r="N277" s="18"/>
      <c r="O277" s="23"/>
      <c r="P277" s="23" cm="1">
        <f t="array" ref="P277">N277*O277</f>
        <v>0</v>
      </c>
      <c r="Q277" t="s" s="17">
        <v>37</v>
      </c>
      <c r="R277" s="23" cm="1">
        <f t="array" ref="R277">(M277+P277)*(1+VALUE(SUBSTITUTE(Q277,"%",""))/100)</f>
        <v>0</v>
      </c>
      <c r="S277" t="s" s="17">
        <v>31</v>
      </c>
    </row>
    <row r="278" ht="16" customHeight="1">
      <c r="A278" s="15">
        <v>21</v>
      </c>
      <c r="B278" s="18"/>
      <c r="C278" s="28"/>
      <c r="D278" s="18"/>
      <c r="E278" s="18"/>
      <c r="F278" s="18"/>
      <c r="G278" s="31"/>
      <c r="H278" s="9"/>
      <c r="I278" s="32"/>
      <c r="J278" s="33"/>
      <c r="K278" s="18"/>
      <c r="L278" s="23" cm="1">
        <f t="array" ref="L278">_xlfn.IFERROR(VLOOKUP(D278,'Lookups'!$A$2:$C$17,2,FALSE),0)</f>
        <v>0</v>
      </c>
      <c r="M278" s="23" cm="1">
        <f t="array" ref="M278">K278*L278</f>
        <v>0</v>
      </c>
      <c r="N278" s="18"/>
      <c r="O278" s="23"/>
      <c r="P278" s="23" cm="1">
        <f t="array" ref="P278">N278*O278</f>
        <v>0</v>
      </c>
      <c r="Q278" t="s" s="17">
        <v>37</v>
      </c>
      <c r="R278" s="23" cm="1">
        <f t="array" ref="R278">(M278+P278)*(1+VALUE(SUBSTITUTE(Q278,"%",""))/100)</f>
        <v>0</v>
      </c>
      <c r="S278" t="s" s="17">
        <v>31</v>
      </c>
    </row>
    <row r="279" ht="16" customHeight="1">
      <c r="A279" t="s" s="11">
        <v>95</v>
      </c>
      <c r="B279" s="12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4"/>
      <c r="P279" s="12"/>
      <c r="Q279" s="13"/>
      <c r="R279" s="13"/>
      <c r="S279" s="14"/>
    </row>
    <row r="280" ht="16" customHeight="1">
      <c r="A280" s="15">
        <v>22</v>
      </c>
      <c r="B280" s="18"/>
      <c r="C280" s="28"/>
      <c r="D280" s="18"/>
      <c r="E280" s="18"/>
      <c r="F280" s="18"/>
      <c r="G280" s="19"/>
      <c r="H280" s="20"/>
      <c r="I280" s="36"/>
      <c r="J280" s="37"/>
      <c r="K280" s="18"/>
      <c r="L280" s="23" cm="1">
        <f t="array" ref="L280">_xlfn.IFERROR(VLOOKUP(D280,'Lookups'!$A$2:$C$17,2,FALSE),0)</f>
        <v>0</v>
      </c>
      <c r="M280" s="23" cm="1">
        <f t="array" ref="M280">K280*L280</f>
        <v>0</v>
      </c>
      <c r="N280" s="18"/>
      <c r="O280" s="23"/>
      <c r="P280" s="23" cm="1">
        <f t="array" ref="P280">N280*O280</f>
        <v>0</v>
      </c>
      <c r="Q280" t="s" s="17">
        <v>37</v>
      </c>
      <c r="R280" s="23" cm="1">
        <f t="array" ref="R280">(M280+P280)*(1+VALUE(SUBSTITUTE(Q280,"%",""))/100)</f>
        <v>0</v>
      </c>
      <c r="S280" t="s" s="17">
        <v>31</v>
      </c>
    </row>
    <row r="281" ht="16" customHeight="1">
      <c r="A281" s="15">
        <v>22</v>
      </c>
      <c r="B281" s="18"/>
      <c r="C281" s="28"/>
      <c r="D281" s="18"/>
      <c r="E281" s="18"/>
      <c r="F281" s="18"/>
      <c r="G281" s="25"/>
      <c r="H281" s="4"/>
      <c r="I281" s="29"/>
      <c r="J281" s="30"/>
      <c r="K281" s="18"/>
      <c r="L281" s="23" cm="1">
        <f t="array" ref="L281">_xlfn.IFERROR(VLOOKUP(D281,'Lookups'!$A$2:$C$17,2,FALSE),0)</f>
        <v>0</v>
      </c>
      <c r="M281" s="23" cm="1">
        <f t="array" ref="M281">K281*L281</f>
        <v>0</v>
      </c>
      <c r="N281" s="18"/>
      <c r="O281" s="23"/>
      <c r="P281" s="23" cm="1">
        <f t="array" ref="P281">N281*O281</f>
        <v>0</v>
      </c>
      <c r="Q281" t="s" s="17">
        <v>37</v>
      </c>
      <c r="R281" s="23" cm="1">
        <f t="array" ref="R281">(M281+P281)*(1+VALUE(SUBSTITUTE(Q281,"%",""))/100)</f>
        <v>0</v>
      </c>
      <c r="S281" t="s" s="17">
        <v>31</v>
      </c>
    </row>
    <row r="282" ht="16" customHeight="1">
      <c r="A282" s="15">
        <v>22</v>
      </c>
      <c r="B282" s="18"/>
      <c r="C282" s="28"/>
      <c r="D282" s="18"/>
      <c r="E282" s="18"/>
      <c r="F282" s="18"/>
      <c r="G282" s="25"/>
      <c r="H282" s="4"/>
      <c r="I282" s="29"/>
      <c r="J282" s="30"/>
      <c r="K282" s="18"/>
      <c r="L282" s="23" cm="1">
        <f t="array" ref="L282">_xlfn.IFERROR(VLOOKUP(D282,'Lookups'!$A$2:$C$17,2,FALSE),0)</f>
        <v>0</v>
      </c>
      <c r="M282" s="23" cm="1">
        <f t="array" ref="M282">K282*L282</f>
        <v>0</v>
      </c>
      <c r="N282" s="18"/>
      <c r="O282" s="23"/>
      <c r="P282" s="23" cm="1">
        <f t="array" ref="P282">N282*O282</f>
        <v>0</v>
      </c>
      <c r="Q282" t="s" s="17">
        <v>37</v>
      </c>
      <c r="R282" s="23" cm="1">
        <f t="array" ref="R282">(M282+P282)*(1+VALUE(SUBSTITUTE(Q282,"%",""))/100)</f>
        <v>0</v>
      </c>
      <c r="S282" t="s" s="17">
        <v>31</v>
      </c>
    </row>
    <row r="283" ht="16" customHeight="1">
      <c r="A283" s="15">
        <v>22</v>
      </c>
      <c r="B283" s="18"/>
      <c r="C283" s="28"/>
      <c r="D283" s="18"/>
      <c r="E283" s="18"/>
      <c r="F283" s="18"/>
      <c r="G283" s="25"/>
      <c r="H283" s="4"/>
      <c r="I283" s="29"/>
      <c r="J283" s="30"/>
      <c r="K283" s="18"/>
      <c r="L283" s="23" cm="1">
        <f t="array" ref="L283">_xlfn.IFERROR(VLOOKUP(D283,'Lookups'!$A$2:$C$17,2,FALSE),0)</f>
        <v>0</v>
      </c>
      <c r="M283" s="23" cm="1">
        <f t="array" ref="M283">K283*L283</f>
        <v>0</v>
      </c>
      <c r="N283" s="18"/>
      <c r="O283" s="23"/>
      <c r="P283" s="23" cm="1">
        <f t="array" ref="P283">N283*O283</f>
        <v>0</v>
      </c>
      <c r="Q283" t="s" s="17">
        <v>37</v>
      </c>
      <c r="R283" s="23" cm="1">
        <f t="array" ref="R283">(M283+P283)*(1+VALUE(SUBSTITUTE(Q283,"%",""))/100)</f>
        <v>0</v>
      </c>
      <c r="S283" t="s" s="17">
        <v>31</v>
      </c>
    </row>
    <row r="284" ht="16" customHeight="1">
      <c r="A284" s="15">
        <v>22</v>
      </c>
      <c r="B284" s="18"/>
      <c r="C284" s="28"/>
      <c r="D284" s="18"/>
      <c r="E284" s="18"/>
      <c r="F284" s="18"/>
      <c r="G284" s="25"/>
      <c r="H284" s="4"/>
      <c r="I284" s="29"/>
      <c r="J284" s="30"/>
      <c r="K284" s="18"/>
      <c r="L284" s="23" cm="1">
        <f t="array" ref="L284">_xlfn.IFERROR(VLOOKUP(D284,'Lookups'!$A$2:$C$17,2,FALSE),0)</f>
        <v>0</v>
      </c>
      <c r="M284" s="23" cm="1">
        <f t="array" ref="M284">K284*L284</f>
        <v>0</v>
      </c>
      <c r="N284" s="18"/>
      <c r="O284" s="23"/>
      <c r="P284" s="23" cm="1">
        <f t="array" ref="P284">N284*O284</f>
        <v>0</v>
      </c>
      <c r="Q284" t="s" s="17">
        <v>37</v>
      </c>
      <c r="R284" s="23" cm="1">
        <f t="array" ref="R284">(M284+P284)*(1+VALUE(SUBSTITUTE(Q284,"%",""))/100)</f>
        <v>0</v>
      </c>
      <c r="S284" t="s" s="17">
        <v>31</v>
      </c>
    </row>
    <row r="285" ht="16" customHeight="1">
      <c r="A285" s="15">
        <v>22</v>
      </c>
      <c r="B285" s="18"/>
      <c r="C285" s="28"/>
      <c r="D285" s="18"/>
      <c r="E285" s="18"/>
      <c r="F285" s="18"/>
      <c r="G285" s="25"/>
      <c r="H285" s="4"/>
      <c r="I285" s="29"/>
      <c r="J285" s="30"/>
      <c r="K285" s="18"/>
      <c r="L285" s="23" cm="1">
        <f t="array" ref="L285">_xlfn.IFERROR(VLOOKUP(D285,'Lookups'!$A$2:$C$17,2,FALSE),0)</f>
        <v>0</v>
      </c>
      <c r="M285" s="23" cm="1">
        <f t="array" ref="M285">K285*L285</f>
        <v>0</v>
      </c>
      <c r="N285" s="18"/>
      <c r="O285" s="23"/>
      <c r="P285" s="23" cm="1">
        <f t="array" ref="P285">N285*O285</f>
        <v>0</v>
      </c>
      <c r="Q285" t="s" s="17">
        <v>37</v>
      </c>
      <c r="R285" s="23" cm="1">
        <f t="array" ref="R285">(M285+P285)*(1+VALUE(SUBSTITUTE(Q285,"%",""))/100)</f>
        <v>0</v>
      </c>
      <c r="S285" t="s" s="17">
        <v>31</v>
      </c>
    </row>
    <row r="286" ht="16" customHeight="1">
      <c r="A286" s="15">
        <v>22</v>
      </c>
      <c r="B286" s="18"/>
      <c r="C286" s="28"/>
      <c r="D286" s="18"/>
      <c r="E286" s="18"/>
      <c r="F286" s="18"/>
      <c r="G286" s="25"/>
      <c r="H286" s="4"/>
      <c r="I286" s="29"/>
      <c r="J286" s="30"/>
      <c r="K286" s="18"/>
      <c r="L286" s="23" cm="1">
        <f t="array" ref="L286">_xlfn.IFERROR(VLOOKUP(D286,'Lookups'!$A$2:$C$17,2,FALSE),0)</f>
        <v>0</v>
      </c>
      <c r="M286" s="23" cm="1">
        <f t="array" ref="M286">K286*L286</f>
        <v>0</v>
      </c>
      <c r="N286" s="18"/>
      <c r="O286" s="23"/>
      <c r="P286" s="23" cm="1">
        <f t="array" ref="P286">N286*O286</f>
        <v>0</v>
      </c>
      <c r="Q286" t="s" s="17">
        <v>37</v>
      </c>
      <c r="R286" s="23" cm="1">
        <f t="array" ref="R286">(M286+P286)*(1+VALUE(SUBSTITUTE(Q286,"%",""))/100)</f>
        <v>0</v>
      </c>
      <c r="S286" t="s" s="17">
        <v>31</v>
      </c>
    </row>
    <row r="287" ht="16" customHeight="1">
      <c r="A287" s="15">
        <v>22</v>
      </c>
      <c r="B287" s="18"/>
      <c r="C287" s="28"/>
      <c r="D287" s="18"/>
      <c r="E287" s="18"/>
      <c r="F287" s="18"/>
      <c r="G287" s="25"/>
      <c r="H287" s="4"/>
      <c r="I287" s="29"/>
      <c r="J287" s="30"/>
      <c r="K287" s="18"/>
      <c r="L287" s="23" cm="1">
        <f t="array" ref="L287">_xlfn.IFERROR(VLOOKUP(D287,'Lookups'!$A$2:$C$17,2,FALSE),0)</f>
        <v>0</v>
      </c>
      <c r="M287" s="23" cm="1">
        <f t="array" ref="M287">K287*L287</f>
        <v>0</v>
      </c>
      <c r="N287" s="18"/>
      <c r="O287" s="23"/>
      <c r="P287" s="23" cm="1">
        <f t="array" ref="P287">N287*O287</f>
        <v>0</v>
      </c>
      <c r="Q287" t="s" s="17">
        <v>37</v>
      </c>
      <c r="R287" s="23" cm="1">
        <f t="array" ref="R287">(M287+P287)*(1+VALUE(SUBSTITUTE(Q287,"%",""))/100)</f>
        <v>0</v>
      </c>
      <c r="S287" t="s" s="17">
        <v>31</v>
      </c>
    </row>
    <row r="288" ht="16" customHeight="1">
      <c r="A288" s="15">
        <v>22</v>
      </c>
      <c r="B288" s="18"/>
      <c r="C288" s="28"/>
      <c r="D288" s="18"/>
      <c r="E288" s="18"/>
      <c r="F288" s="18"/>
      <c r="G288" s="25"/>
      <c r="H288" s="4"/>
      <c r="I288" s="29"/>
      <c r="J288" s="30"/>
      <c r="K288" s="18"/>
      <c r="L288" s="23" cm="1">
        <f t="array" ref="L288">_xlfn.IFERROR(VLOOKUP(D288,'Lookups'!$A$2:$C$17,2,FALSE),0)</f>
        <v>0</v>
      </c>
      <c r="M288" s="23" cm="1">
        <f t="array" ref="M288">K288*L288</f>
        <v>0</v>
      </c>
      <c r="N288" s="18"/>
      <c r="O288" s="23"/>
      <c r="P288" s="23" cm="1">
        <f t="array" ref="P288">N288*O288</f>
        <v>0</v>
      </c>
      <c r="Q288" t="s" s="17">
        <v>37</v>
      </c>
      <c r="R288" s="23" cm="1">
        <f t="array" ref="R288">(M288+P288)*(1+VALUE(SUBSTITUTE(Q288,"%",""))/100)</f>
        <v>0</v>
      </c>
      <c r="S288" t="s" s="17">
        <v>31</v>
      </c>
    </row>
    <row r="289" ht="16" customHeight="1">
      <c r="A289" s="15">
        <v>22</v>
      </c>
      <c r="B289" s="18"/>
      <c r="C289" s="28"/>
      <c r="D289" s="18"/>
      <c r="E289" s="18"/>
      <c r="F289" s="18"/>
      <c r="G289" s="25"/>
      <c r="H289" s="4"/>
      <c r="I289" s="29"/>
      <c r="J289" s="30"/>
      <c r="K289" s="18"/>
      <c r="L289" s="23" cm="1">
        <f t="array" ref="L289">_xlfn.IFERROR(VLOOKUP(D289,'Lookups'!$A$2:$C$17,2,FALSE),0)</f>
        <v>0</v>
      </c>
      <c r="M289" s="23" cm="1">
        <f t="array" ref="M289">K289*L289</f>
        <v>0</v>
      </c>
      <c r="N289" s="18"/>
      <c r="O289" s="23"/>
      <c r="P289" s="23" cm="1">
        <f t="array" ref="P289">N289*O289</f>
        <v>0</v>
      </c>
      <c r="Q289" t="s" s="17">
        <v>37</v>
      </c>
      <c r="R289" s="23" cm="1">
        <f t="array" ref="R289">(M289+P289)*(1+VALUE(SUBSTITUTE(Q289,"%",""))/100)</f>
        <v>0</v>
      </c>
      <c r="S289" t="s" s="17">
        <v>31</v>
      </c>
    </row>
    <row r="290" ht="16" customHeight="1">
      <c r="A290" s="15">
        <v>22</v>
      </c>
      <c r="B290" s="18"/>
      <c r="C290" s="28"/>
      <c r="D290" s="18"/>
      <c r="E290" s="18"/>
      <c r="F290" s="18"/>
      <c r="G290" s="25"/>
      <c r="H290" s="4"/>
      <c r="I290" s="29"/>
      <c r="J290" s="30"/>
      <c r="K290" s="18"/>
      <c r="L290" s="23" cm="1">
        <f t="array" ref="L290">_xlfn.IFERROR(VLOOKUP(D290,'Lookups'!$A$2:$C$17,2,FALSE),0)</f>
        <v>0</v>
      </c>
      <c r="M290" s="23" cm="1">
        <f t="array" ref="M290">K290*L290</f>
        <v>0</v>
      </c>
      <c r="N290" s="18"/>
      <c r="O290" s="23"/>
      <c r="P290" s="23" cm="1">
        <f t="array" ref="P290">N290*O290</f>
        <v>0</v>
      </c>
      <c r="Q290" t="s" s="17">
        <v>37</v>
      </c>
      <c r="R290" s="23" cm="1">
        <f t="array" ref="R290">(M290+P290)*(1+VALUE(SUBSTITUTE(Q290,"%",""))/100)</f>
        <v>0</v>
      </c>
      <c r="S290" t="s" s="17">
        <v>31</v>
      </c>
    </row>
    <row r="291" ht="16" customHeight="1">
      <c r="A291" s="15">
        <v>22</v>
      </c>
      <c r="B291" s="18"/>
      <c r="C291" s="28"/>
      <c r="D291" s="18"/>
      <c r="E291" s="18"/>
      <c r="F291" s="18"/>
      <c r="G291" s="25"/>
      <c r="H291" s="4"/>
      <c r="I291" s="29"/>
      <c r="J291" s="30"/>
      <c r="K291" s="18"/>
      <c r="L291" s="23" cm="1">
        <f t="array" ref="L291">_xlfn.IFERROR(VLOOKUP(D291,'Lookups'!$A$2:$C$17,2,FALSE),0)</f>
        <v>0</v>
      </c>
      <c r="M291" s="23" cm="1">
        <f t="array" ref="M291">K291*L291</f>
        <v>0</v>
      </c>
      <c r="N291" s="18"/>
      <c r="O291" s="23"/>
      <c r="P291" s="23" cm="1">
        <f t="array" ref="P291">N291*O291</f>
        <v>0</v>
      </c>
      <c r="Q291" t="s" s="17">
        <v>37</v>
      </c>
      <c r="R291" s="23" cm="1">
        <f t="array" ref="R291">(M291+P291)*(1+VALUE(SUBSTITUTE(Q291,"%",""))/100)</f>
        <v>0</v>
      </c>
      <c r="S291" t="s" s="17">
        <v>31</v>
      </c>
    </row>
    <row r="292" ht="15" customHeight="1">
      <c r="A292" s="13"/>
      <c r="B292" s="13"/>
      <c r="C292" s="13"/>
      <c r="D292" s="13"/>
      <c r="E292" s="13"/>
      <c r="F292" s="13"/>
      <c r="G292" s="4"/>
      <c r="H292" s="4"/>
      <c r="I292" s="4"/>
      <c r="J292" s="4"/>
      <c r="K292" s="13"/>
      <c r="L292" s="13"/>
      <c r="M292" s="13"/>
      <c r="N292" s="13"/>
      <c r="O292" s="13"/>
      <c r="P292" s="13"/>
      <c r="Q292" s="13"/>
      <c r="R292" s="13"/>
      <c r="S292" s="20"/>
    </row>
    <row r="293" ht="32" customHeight="1">
      <c r="A293" t="s" s="39">
        <v>96</v>
      </c>
      <c r="B293" s="12"/>
      <c r="C293" s="13"/>
      <c r="D293" s="13"/>
      <c r="E293" s="13"/>
      <c r="F293" s="14"/>
      <c r="G293" s="25"/>
      <c r="H293" s="4"/>
      <c r="I293" s="29"/>
      <c r="J293" s="30"/>
      <c r="K293" s="40"/>
      <c r="L293" s="41" cm="1">
        <f t="array" ref="L293">_xlfn.IFERROR(VLOOKUP(D293,'Lookups'!$A$2:$C$17,2,FALSE),0)</f>
        <v>0</v>
      </c>
      <c r="M293" s="42" cm="1">
        <f t="array" ref="M293">K293*L293</f>
        <v>0</v>
      </c>
      <c r="N293" s="40"/>
      <c r="O293" s="41"/>
      <c r="P293" s="42" cm="1">
        <f t="array" ref="P293">N293*O293</f>
        <v>0</v>
      </c>
      <c r="Q293" t="s" s="39">
        <v>22</v>
      </c>
      <c r="R293" s="41" cm="1">
        <f t="array" ref="R293">(M293+P293)*(1+VALUE(SUBSTITUTE(Q293,"%",""))/100)</f>
      </c>
      <c r="S293" t="s" s="43">
        <v>31</v>
      </c>
    </row>
  </sheetData>
  <mergeCells count="24">
    <mergeCell ref="A1:N1"/>
    <mergeCell ref="A175:O175"/>
    <mergeCell ref="A71:O71"/>
    <mergeCell ref="A188:O188"/>
    <mergeCell ref="A32:O32"/>
    <mergeCell ref="A97:O97"/>
    <mergeCell ref="A6:O6"/>
    <mergeCell ref="A84:O84"/>
    <mergeCell ref="A149:O149"/>
    <mergeCell ref="A136:O136"/>
    <mergeCell ref="A253:O253"/>
    <mergeCell ref="A240:O240"/>
    <mergeCell ref="A293:F293"/>
    <mergeCell ref="A19:O19"/>
    <mergeCell ref="A58:O58"/>
    <mergeCell ref="A201:O201"/>
    <mergeCell ref="A279:O279"/>
    <mergeCell ref="A266:O266"/>
    <mergeCell ref="A45:O45"/>
    <mergeCell ref="A110:O110"/>
    <mergeCell ref="A123:O123"/>
    <mergeCell ref="A162:O162"/>
    <mergeCell ref="A227:O227"/>
    <mergeCell ref="A214:O214"/>
  </mergeCells>
  <dataValidations count="8">
    <dataValidation type="list" allowBlank="1" showInputMessage="1" showErrorMessage="1" sqref="C7:C18 C20:C31 C33:C44 C46:C57 C59:C70 C72:C83 C85:C96 C98:C109 C111:C122 C124:C135 C137:C148 C150:C161 C163:C174 C176:C187 C189:C200 C202:C213 C215:C226 C228:C239 C241:C252 C254:C265 C267:C278 C280:C291 C293">
      <formula1>"Labour,Materials"</formula1>
    </dataValidation>
    <dataValidation type="list" allowBlank="1" showInputMessage="1" showErrorMessage="1" sqref="D7:D18 D20:D31 D33:D44 D46:D57 D59:D70 D72:D83 D85:D96 D98:D109 D111:D122 D124:D135 D137:D148 D150:D161 D163:D174 D176:D187 D189:D200 D202:D213 D215:D226 D228:D239 D241:D252 D254:D265 D267:D278 D280:D291 D293">
      <formula1>"General Builder,Carpenter/Joiner,Plumber,Electrician,Plasterer,Tiler,Decorator,Roofer,Groundworker,Kitchen Fitter,Bathroom Fitter,Glazier,Scaffolder,Flooring Installer,Skip/Disposal,Other"</formula1>
    </dataValidation>
    <dataValidation type="list" allowBlank="1" showInputMessage="1" showErrorMessage="1" sqref="J7:J18 J20:J31 J33:J44 J46:J57 J59:J70 J72:J83 J85:J96 J98:J109 J111:J122 J124:J135 J137:J148 J150:J161 J163:J174 J176:J187 J189:J200 J202:J213 J215:J226 J228:J239 J241:J252 J254:J265 J267:J278 J280:J291 J293">
      <formula1>"Bank Transfer,Credit Card,Debit Card,Cash,Cheque,Other"</formula1>
    </dataValidation>
    <dataValidation type="list" allowBlank="1" showInputMessage="1" showErrorMessage="1" sqref="Q7:Q9 Q20:Q21 Q33 Q46:Q47 Q59:Q62 Q72:Q75 Q87:Q88 Q98:Q100 Q111:Q114 Q124:Q126 Q137:Q138 Q150:Q151 Q163:Q165 Q176 Q189">
      <formula1>"0%,5%,20%,0%"</formula1>
    </dataValidation>
    <dataValidation type="list" allowBlank="1" showInputMessage="1" showErrorMessage="1" sqref="S7:S18 S20:S31 S33:S44 S46:S57 S59:S70 S72:S83 S85:S96 S98:S109 S111:S122 S124:S135 S137:S148 S150:S161 S163:S174 S176:S187 S189:S200 S202:S213 S215:S226 S228:S239 S241:S252 S254:S265 S267:S278 S280:S291 S293">
      <formula1>"Planned,In Progress,Complete,Blocked"</formula1>
    </dataValidation>
    <dataValidation type="list" allowBlank="1" showInputMessage="1" showErrorMessage="1" sqref="Q10:Q18 Q22:Q31 Q34:Q37 Q39:Q44 Q48:Q57 Q63:Q69 Q76:Q83 Q85:Q86 Q89:Q96 Q101:Q102 Q104:Q109 Q115:Q122 Q127:Q134 Q139:Q148 Q152:Q161 Q166:Q167 Q169:Q174 Q177:Q187 Q190:Q199 Q202:Q213 Q215:Q226 Q228:Q232 Q234:Q239 Q241:Q252 Q254:Q264 Q267:Q278 Q280:Q291">
      <formula1>"0%,5%,20%,20%"</formula1>
    </dataValidation>
    <dataValidation type="list" allowBlank="1" showInputMessage="1" showErrorMessage="1" sqref="Q38 Q70 Q103 Q135 Q168 Q200 Q233 Q265">
      <formula1>"0%,5%,20%,0%"</formula1>
    </dataValidation>
    <dataValidation type="list" allowBlank="1" showInputMessage="1" showErrorMessage="1" sqref="Q293">
      <formula1>"0%,5%,20%,Total incl. VAT (£)"</formula1>
    </dataValidation>
  </dataValidation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42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44" customWidth="1"/>
    <col min="2" max="2" width="22" style="44" customWidth="1"/>
    <col min="3" max="3" width="16" style="44" customWidth="1"/>
    <col min="4" max="4" width="18" style="44" customWidth="1"/>
    <col min="5" max="5" width="20" style="44" customWidth="1"/>
    <col min="6" max="16384" width="8.85156" style="44" customWidth="1"/>
  </cols>
  <sheetData>
    <row r="1" ht="17.9" customHeight="1">
      <c r="A1" t="s" s="45">
        <v>97</v>
      </c>
      <c r="B1" s="3"/>
      <c r="C1" s="4"/>
      <c r="D1" s="4"/>
      <c r="E1" s="4"/>
    </row>
    <row r="2" ht="15" customHeight="1">
      <c r="A2" t="s" s="46">
        <v>1</v>
      </c>
      <c r="B2" t="s" s="26">
        <v>2</v>
      </c>
      <c r="C2" s="4"/>
      <c r="D2" s="4"/>
      <c r="E2" s="4"/>
    </row>
    <row r="3" ht="15" customHeight="1">
      <c r="A3" s="4"/>
      <c r="B3" s="4"/>
      <c r="C3" s="4"/>
      <c r="D3" s="4"/>
      <c r="E3" s="4"/>
    </row>
    <row r="4" ht="15" customHeight="1">
      <c r="A4" t="s" s="47">
        <v>98</v>
      </c>
      <c r="B4" s="9"/>
      <c r="C4" s="9"/>
      <c r="D4" s="9"/>
      <c r="E4" s="9"/>
    </row>
    <row r="5" ht="16" customHeight="1">
      <c r="A5" t="s" s="10">
        <v>5</v>
      </c>
      <c r="B5" t="s" s="10">
        <v>99</v>
      </c>
      <c r="C5" t="s" s="10">
        <v>100</v>
      </c>
      <c r="D5" t="s" s="10">
        <v>22</v>
      </c>
      <c r="E5" t="s" s="10">
        <v>101</v>
      </c>
    </row>
    <row r="6" ht="15" customHeight="1">
      <c r="A6" s="48">
        <v>1</v>
      </c>
      <c r="B6" s="49" cm="1">
        <f t="array" ref="B6">SUMIF('Week-by-Week Plan'!$A$6:$A$293,A6,'Week-by-Week Plan'!$M$6:$M$293)</f>
        <v>1770</v>
      </c>
      <c r="C6" s="49" cm="1">
        <f t="array" ref="C6">SUMIF('Week-by-Week Plan'!$A$6:$A$293,A6,'Week-by-Week Plan'!$P$6:$P$293)</f>
        <v>0</v>
      </c>
      <c r="D6" s="49" cm="1">
        <f t="array" ref="D6">SUMIF('Week-by-Week Plan'!$A$6:$A$293,A6,'Week-by-Week Plan'!$R$6:$R$293)</f>
        <v>1770</v>
      </c>
      <c r="E6" s="50"/>
    </row>
    <row r="7" ht="15" customHeight="1">
      <c r="A7" s="48">
        <v>2</v>
      </c>
      <c r="B7" s="49" cm="1">
        <f t="array" ref="B7">SUMIF('Week-by-Week Plan'!$A$6:$A$293,A7,'Week-by-Week Plan'!$M$6:$M$293)</f>
        <v>1675</v>
      </c>
      <c r="C7" s="49" cm="1">
        <f t="array" ref="C7">SUMIF('Week-by-Week Plan'!$A$6:$A$293,A7,'Week-by-Week Plan'!$P$6:$P$293)</f>
        <v>0</v>
      </c>
      <c r="D7" s="49" cm="1">
        <f t="array" ref="D7">SUMIF('Week-by-Week Plan'!$A$6:$A$293,A7,'Week-by-Week Plan'!$R$6:$R$293)</f>
        <v>1675</v>
      </c>
      <c r="E7" s="50"/>
    </row>
    <row r="8" ht="15" customHeight="1">
      <c r="A8" s="48">
        <v>3</v>
      </c>
      <c r="B8" s="49" cm="1">
        <f t="array" ref="B8">SUMIF('Week-by-Week Plan'!$A$6:$A$293,A8,'Week-by-Week Plan'!$M$6:$M$293)</f>
        <v>525</v>
      </c>
      <c r="C8" s="49" cm="1">
        <f t="array" ref="C8">SUMIF('Week-by-Week Plan'!$A$6:$A$293,A8,'Week-by-Week Plan'!$P$6:$P$293)</f>
        <v>0</v>
      </c>
      <c r="D8" s="49" cm="1">
        <f t="array" ref="D8">SUMIF('Week-by-Week Plan'!$A$6:$A$293,A8,'Week-by-Week Plan'!$R$6:$R$293)</f>
        <v>525</v>
      </c>
      <c r="E8" s="50"/>
    </row>
    <row r="9" ht="15" customHeight="1">
      <c r="A9" s="48">
        <v>4</v>
      </c>
      <c r="B9" s="49" cm="1">
        <f t="array" ref="B9">SUMIF('Week-by-Week Plan'!$A$6:$A$293,A9,'Week-by-Week Plan'!$M$6:$M$293)</f>
        <v>1550</v>
      </c>
      <c r="C9" s="49" cm="1">
        <f t="array" ref="C9">SUMIF('Week-by-Week Plan'!$A$6:$A$293,A9,'Week-by-Week Plan'!$P$6:$P$293)</f>
        <v>0</v>
      </c>
      <c r="D9" s="49" cm="1">
        <f t="array" ref="D9">SUMIF('Week-by-Week Plan'!$A$6:$A$293,A9,'Week-by-Week Plan'!$R$6:$R$293)</f>
        <v>1550</v>
      </c>
      <c r="E9" s="50"/>
    </row>
    <row r="10" ht="15" customHeight="1">
      <c r="A10" s="48">
        <v>5</v>
      </c>
      <c r="B10" s="49" cm="1">
        <f t="array" ref="B10">SUMIF('Week-by-Week Plan'!$A$6:$A$293,A10,'Week-by-Week Plan'!$M$6:$M$293)</f>
        <v>3205</v>
      </c>
      <c r="C10" s="49" cm="1">
        <f t="array" ref="C10">SUMIF('Week-by-Week Plan'!$A$6:$A$293,A10,'Week-by-Week Plan'!$P$6:$P$293)</f>
        <v>0</v>
      </c>
      <c r="D10" s="49" cm="1">
        <f t="array" ref="D10">SUMIF('Week-by-Week Plan'!$A$6:$A$293,A10,'Week-by-Week Plan'!$R$6:$R$293)</f>
        <v>3205</v>
      </c>
      <c r="E10" s="50"/>
    </row>
    <row r="11" ht="15" customHeight="1">
      <c r="A11" s="48">
        <v>6</v>
      </c>
      <c r="B11" s="49" cm="1">
        <f t="array" ref="B11">SUMIF('Week-by-Week Plan'!$A$6:$A$293,A11,'Week-by-Week Plan'!$M$6:$M$293)</f>
        <v>2500</v>
      </c>
      <c r="C11" s="49" cm="1">
        <f t="array" ref="C11">SUMIF('Week-by-Week Plan'!$A$6:$A$293,A11,'Week-by-Week Plan'!$P$6:$P$293)</f>
        <v>0</v>
      </c>
      <c r="D11" s="49" cm="1">
        <f t="array" ref="D11">SUMIF('Week-by-Week Plan'!$A$6:$A$293,A11,'Week-by-Week Plan'!$R$6:$R$293)</f>
        <v>2500</v>
      </c>
      <c r="E11" s="50"/>
    </row>
    <row r="12" ht="15" customHeight="1">
      <c r="A12" s="48">
        <v>7</v>
      </c>
      <c r="B12" s="49" cm="1">
        <f t="array" ref="B12">SUMIF('Week-by-Week Plan'!$A$6:$A$293,A12,'Week-by-Week Plan'!$M$6:$M$293)</f>
        <v>1050</v>
      </c>
      <c r="C12" s="49" cm="1">
        <f t="array" ref="C12">SUMIF('Week-by-Week Plan'!$A$6:$A$293,A12,'Week-by-Week Plan'!$P$6:$P$293)</f>
        <v>0</v>
      </c>
      <c r="D12" s="49" cm="1">
        <f t="array" ref="D12">SUMIF('Week-by-Week Plan'!$A$6:$A$293,A12,'Week-by-Week Plan'!$R$6:$R$293)</f>
        <v>2048.4</v>
      </c>
      <c r="E12" s="50"/>
    </row>
    <row r="13" ht="15" customHeight="1">
      <c r="A13" s="48">
        <v>8</v>
      </c>
      <c r="B13" s="49" cm="1">
        <f t="array" ref="B13">SUMIF('Week-by-Week Plan'!$A$6:$A$293,A13,'Week-by-Week Plan'!$M$6:$M$293)</f>
        <v>2425</v>
      </c>
      <c r="C13" s="49" cm="1">
        <f t="array" ref="C13">SUMIF('Week-by-Week Plan'!$A$6:$A$293,A13,'Week-by-Week Plan'!$P$6:$P$293)</f>
        <v>0</v>
      </c>
      <c r="D13" s="49" cm="1">
        <f t="array" ref="D13">SUMIF('Week-by-Week Plan'!$A$6:$A$293,A13,'Week-by-Week Plan'!$R$6:$R$293)</f>
        <v>2425</v>
      </c>
      <c r="E13" s="50"/>
    </row>
    <row r="14" ht="15" customHeight="1">
      <c r="A14" s="48">
        <v>9</v>
      </c>
      <c r="B14" s="49" cm="1">
        <f t="array" ref="B14">SUMIF('Week-by-Week Plan'!$A$6:$A$293,A14,'Week-by-Week Plan'!$M$6:$M$293)</f>
        <v>6110</v>
      </c>
      <c r="C14" s="49" cm="1">
        <f t="array" ref="C14">SUMIF('Week-by-Week Plan'!$A$6:$A$293,A14,'Week-by-Week Plan'!$P$6:$P$293)</f>
        <v>0</v>
      </c>
      <c r="D14" s="49">
        <v>6110</v>
      </c>
      <c r="E14" s="50"/>
    </row>
    <row r="15" ht="15" customHeight="1">
      <c r="A15" s="48">
        <v>10</v>
      </c>
      <c r="B15" s="49" cm="1">
        <f t="array" ref="B15">SUMIF('Week-by-Week Plan'!$A$6:$A$293,A15,'Week-by-Week Plan'!$M$6:$M$293)</f>
        <v>2915</v>
      </c>
      <c r="C15" s="49" cm="1">
        <f t="array" ref="C15">SUMIF('Week-by-Week Plan'!$A$6:$A$293,A15,'Week-by-Week Plan'!$P$6:$P$293)</f>
        <v>0</v>
      </c>
      <c r="D15" s="49">
        <v>2915</v>
      </c>
      <c r="E15" s="50"/>
    </row>
    <row r="16" ht="15" customHeight="1">
      <c r="A16" s="48">
        <v>11</v>
      </c>
      <c r="B16" s="49" cm="1">
        <f t="array" ref="B16">SUMIF('Week-by-Week Plan'!$A$6:$A$293,A16,'Week-by-Week Plan'!$M$6:$M$293)</f>
        <v>700</v>
      </c>
      <c r="C16" s="49" cm="1">
        <f t="array" ref="C16">SUMIF('Week-by-Week Plan'!$A$6:$A$293,A16,'Week-by-Week Plan'!$P$6:$P$293)</f>
        <v>0</v>
      </c>
      <c r="D16" s="49">
        <v>700</v>
      </c>
      <c r="E16" s="50"/>
    </row>
    <row r="17" ht="15" customHeight="1">
      <c r="A17" s="48">
        <v>12</v>
      </c>
      <c r="B17" s="49" cm="1">
        <f t="array" ref="B17">SUMIF('Week-by-Week Plan'!$A$6:$A$293,A17,'Week-by-Week Plan'!$M$6:$M$293)</f>
        <v>4000</v>
      </c>
      <c r="C17" s="49" cm="1">
        <f t="array" ref="C17">SUMIF('Week-by-Week Plan'!$A$6:$A$293,A17,'Week-by-Week Plan'!$P$6:$P$293)</f>
        <v>0</v>
      </c>
      <c r="D17" s="49">
        <v>4000</v>
      </c>
      <c r="E17" s="50"/>
    </row>
    <row r="18" ht="15" customHeight="1">
      <c r="A18" s="48">
        <v>13</v>
      </c>
      <c r="B18" s="49" cm="1">
        <f t="array" ref="B18">SUMIF('Week-by-Week Plan'!$A$6:$A$293,A18,'Week-by-Week Plan'!$M$6:$M$293)</f>
        <v>2575</v>
      </c>
      <c r="C18" s="49" cm="1">
        <f t="array" ref="C18">SUMIF('Week-by-Week Plan'!$A$6:$A$293,A18,'Week-by-Week Plan'!$P$6:$P$293)</f>
        <v>0</v>
      </c>
      <c r="D18" s="49">
        <v>2575</v>
      </c>
      <c r="E18" s="50"/>
    </row>
    <row r="19" ht="15" customHeight="1">
      <c r="A19" s="48">
        <v>14</v>
      </c>
      <c r="B19" s="49" cm="1">
        <f t="array" ref="B19">SUMIF('Week-by-Week Plan'!$A$6:$A$293,A19,'Week-by-Week Plan'!$M$6:$M$293)</f>
        <v>2520</v>
      </c>
      <c r="C19" s="49" cm="1">
        <f t="array" ref="C19">SUMIF('Week-by-Week Plan'!$A$6:$A$293,A19,'Week-by-Week Plan'!$P$6:$P$293)</f>
        <v>0</v>
      </c>
      <c r="D19" s="49" cm="1">
        <f t="array" ref="D19">SUMIF('Week-by-Week Plan'!$A$6:$A$293,A19,'Week-by-Week Plan'!$R$6:$R$293)</f>
        <v>2520</v>
      </c>
      <c r="E19" s="50"/>
    </row>
    <row r="20" ht="15" customHeight="1">
      <c r="A20" s="48">
        <v>15</v>
      </c>
      <c r="B20" s="49" cm="1">
        <f t="array" ref="B20">SUMIF('Week-by-Week Plan'!$A$6:$A$293,A20,'Week-by-Week Plan'!$M$6:$M$293)</f>
        <v>6997.84</v>
      </c>
      <c r="C20" s="49" cm="1">
        <f t="array" ref="C20">SUMIF('Week-by-Week Plan'!$A$6:$A$293,A20,'Week-by-Week Plan'!$P$6:$P$293)</f>
        <v>0</v>
      </c>
      <c r="D20" s="49" cm="1">
        <f t="array" ref="D20">SUMIF('Week-by-Week Plan'!$A$6:$A$293,A20,'Week-by-Week Plan'!$R$6:$R$293)</f>
        <v>7893.408</v>
      </c>
      <c r="E20" s="50"/>
    </row>
    <row r="21" ht="15" customHeight="1">
      <c r="A21" s="48">
        <v>16</v>
      </c>
      <c r="B21" s="49" cm="1">
        <f t="array" ref="B21">SUMIF('Week-by-Week Plan'!$A$6:$A$293,A21,'Week-by-Week Plan'!$M$6:$M$293)</f>
        <v>0</v>
      </c>
      <c r="C21" s="49" cm="1">
        <f t="array" ref="C21">SUMIF('Week-by-Week Plan'!$A$6:$A$293,A21,'Week-by-Week Plan'!$P$6:$P$293)</f>
        <v>0</v>
      </c>
      <c r="D21" s="49" cm="1">
        <f t="array" ref="D21">SUMIF('Week-by-Week Plan'!$A$6:$A$293,A21,'Week-by-Week Plan'!$R$6:$R$293)</f>
        <v>0</v>
      </c>
      <c r="E21" s="50"/>
    </row>
    <row r="22" ht="15" customHeight="1">
      <c r="A22" s="48">
        <v>17</v>
      </c>
      <c r="B22" s="49" cm="1">
        <f t="array" ref="B22">SUMIF('Week-by-Week Plan'!$A$6:$A$293,A22,'Week-by-Week Plan'!$M$6:$M$293)</f>
        <v>0</v>
      </c>
      <c r="C22" s="49" cm="1">
        <f t="array" ref="C22">SUMIF('Week-by-Week Plan'!$A$6:$A$293,A22,'Week-by-Week Plan'!$P$6:$P$293)</f>
        <v>0</v>
      </c>
      <c r="D22" s="49" cm="1">
        <f t="array" ref="D22">SUMIF('Week-by-Week Plan'!$A$6:$A$293,A22,'Week-by-Week Plan'!$R$6:$R$293)</f>
        <v>0</v>
      </c>
      <c r="E22" s="50"/>
    </row>
    <row r="23" ht="15" customHeight="1">
      <c r="A23" s="48">
        <v>18</v>
      </c>
      <c r="B23" s="49" cm="1">
        <f t="array" ref="B23">SUMIF('Week-by-Week Plan'!$A$6:$A$293,A23,'Week-by-Week Plan'!$M$6:$M$293)</f>
        <v>0</v>
      </c>
      <c r="C23" s="49" cm="1">
        <f t="array" ref="C23">SUMIF('Week-by-Week Plan'!$A$6:$A$293,A23,'Week-by-Week Plan'!$P$6:$P$293)</f>
        <v>0</v>
      </c>
      <c r="D23" s="49" cm="1">
        <f t="array" ref="D23">SUMIF('Week-by-Week Plan'!$A$6:$A$293,A23,'Week-by-Week Plan'!$R$6:$R$293)</f>
        <v>0</v>
      </c>
      <c r="E23" s="50"/>
    </row>
    <row r="24" ht="15" customHeight="1">
      <c r="A24" s="48">
        <v>19</v>
      </c>
      <c r="B24" s="49" cm="1">
        <f t="array" ref="B24">SUMIF('Week-by-Week Plan'!$A$6:$A$293,A24,'Week-by-Week Plan'!$M$6:$M$293)</f>
        <v>0</v>
      </c>
      <c r="C24" s="49" cm="1">
        <f t="array" ref="C24">SUMIF('Week-by-Week Plan'!$A$6:$A$293,A24,'Week-by-Week Plan'!$P$6:$P$293)</f>
        <v>0</v>
      </c>
      <c r="D24" s="49" cm="1">
        <f t="array" ref="D24">SUMIF('Week-by-Week Plan'!$A$6:$A$293,A24,'Week-by-Week Plan'!$R$6:$R$293)</f>
        <v>0</v>
      </c>
      <c r="E24" s="50"/>
    </row>
    <row r="25" ht="15" customHeight="1">
      <c r="A25" s="48">
        <v>20</v>
      </c>
      <c r="B25" s="49" cm="1">
        <f t="array" ref="B25">SUMIF('Week-by-Week Plan'!$A$6:$A$293,A25,'Week-by-Week Plan'!$M$6:$M$293)</f>
        <v>0</v>
      </c>
      <c r="C25" s="49" cm="1">
        <f t="array" ref="C25">SUMIF('Week-by-Week Plan'!$A$6:$A$293,A25,'Week-by-Week Plan'!$P$6:$P$293)</f>
        <v>0</v>
      </c>
      <c r="D25" s="49" cm="1">
        <f t="array" ref="D25">SUMIF('Week-by-Week Plan'!$A$6:$A$293,A25,'Week-by-Week Plan'!$R$6:$R$293)</f>
        <v>0</v>
      </c>
      <c r="E25" s="50"/>
    </row>
    <row r="26" ht="15" customHeight="1">
      <c r="A26" s="48">
        <v>21</v>
      </c>
      <c r="B26" s="49" cm="1">
        <f t="array" ref="B26">SUMIF('Week-by-Week Plan'!$A$6:$A$293,A26,'Week-by-Week Plan'!$M$6:$M$293)</f>
        <v>0</v>
      </c>
      <c r="C26" s="49" cm="1">
        <f t="array" ref="C26">SUMIF('Week-by-Week Plan'!$A$6:$A$293,A26,'Week-by-Week Plan'!$P$6:$P$293)</f>
        <v>0</v>
      </c>
      <c r="D26" s="49" cm="1">
        <f t="array" ref="D26">SUMIF('Week-by-Week Plan'!$A$6:$A$293,A26,'Week-by-Week Plan'!$R$6:$R$293)</f>
        <v>0</v>
      </c>
      <c r="E26" s="50"/>
    </row>
    <row r="27" ht="15" customHeight="1">
      <c r="A27" s="48">
        <v>22</v>
      </c>
      <c r="B27" s="49" cm="1">
        <f t="array" ref="B27">SUMIF('Week-by-Week Plan'!$A$6:$A$293,A27,'Week-by-Week Plan'!$M$6:$M$293)</f>
        <v>0</v>
      </c>
      <c r="C27" s="49" cm="1">
        <f t="array" ref="C27">SUMIF('Week-by-Week Plan'!$A$6:$A$293,A27,'Week-by-Week Plan'!$P$6:$P$293)</f>
        <v>0</v>
      </c>
      <c r="D27" s="49" cm="1">
        <f t="array" ref="D27">SUMIF('Week-by-Week Plan'!$A$6:$A$293,A27,'Week-by-Week Plan'!$R$6:$R$293)</f>
        <v>0</v>
      </c>
      <c r="E27" s="50"/>
    </row>
    <row r="28" ht="15" customHeight="1">
      <c r="A28" s="13"/>
      <c r="B28" s="13"/>
      <c r="C28" s="20"/>
      <c r="D28" s="20"/>
      <c r="E28" s="20"/>
    </row>
    <row r="29" ht="16" customHeight="1">
      <c r="A29" t="s" s="39">
        <v>102</v>
      </c>
      <c r="B29" s="51"/>
      <c r="C29" s="25"/>
      <c r="D29" s="4"/>
      <c r="E29" s="4"/>
    </row>
    <row r="30" ht="16" customHeight="1">
      <c r="A30" t="s" s="52">
        <v>103</v>
      </c>
      <c r="B30" s="53">
        <v>0</v>
      </c>
      <c r="C30" s="25"/>
      <c r="D30" s="4"/>
      <c r="E30" s="4"/>
    </row>
    <row r="31" ht="16" customHeight="1">
      <c r="A31" t="s" s="52">
        <v>104</v>
      </c>
      <c r="B31" s="53" cm="1">
        <f t="array" ref="B31">SUM(D6:D27)</f>
        <v>42411.808</v>
      </c>
      <c r="C31" s="25"/>
      <c r="D31" s="4"/>
      <c r="E31" s="4"/>
    </row>
    <row r="32" ht="16" customHeight="1">
      <c r="A32" t="s" s="52">
        <v>105</v>
      </c>
      <c r="B32" s="53" cm="1">
        <f t="array" ref="B32">B31-B30</f>
        <v>42411.808</v>
      </c>
      <c r="C32" s="25"/>
      <c r="D32" s="4"/>
      <c r="E32" s="4"/>
    </row>
    <row r="33" ht="16" customHeight="1">
      <c r="A33" t="s" s="52">
        <v>106</v>
      </c>
      <c r="B33" s="54">
        <v>0</v>
      </c>
      <c r="C33" s="25"/>
      <c r="D33" s="4"/>
      <c r="E33" s="4"/>
    </row>
    <row r="34" ht="16" customHeight="1">
      <c r="A34" t="s" s="52">
        <v>107</v>
      </c>
      <c r="B34" s="53" cm="1">
        <f t="array" ref="B34">B31*B33/100</f>
        <v>0</v>
      </c>
      <c r="C34" s="25"/>
      <c r="D34" s="4"/>
      <c r="E34" s="4"/>
    </row>
    <row r="35" ht="16" customHeight="1">
      <c r="A35" t="s" s="52">
        <v>108</v>
      </c>
      <c r="B35" s="53" cm="1">
        <f t="array" ref="B35">B31+B34</f>
        <v>42411.808</v>
      </c>
      <c r="C35" s="25"/>
      <c r="D35" s="4"/>
      <c r="E35" s="4"/>
    </row>
    <row r="36" ht="15" customHeight="1">
      <c r="A36" s="20"/>
      <c r="B36" s="20"/>
      <c r="C36" s="4"/>
      <c r="D36" s="4"/>
      <c r="E36" s="4"/>
    </row>
    <row r="37" ht="15" customHeight="1">
      <c r="A37" s="4"/>
      <c r="B37" s="4"/>
      <c r="C37" s="4"/>
      <c r="D37" s="4"/>
      <c r="E37" s="4"/>
    </row>
    <row r="38" ht="15" customHeight="1">
      <c r="A38" t="s" s="47">
        <v>109</v>
      </c>
      <c r="B38" s="9"/>
      <c r="C38" s="9"/>
      <c r="D38" s="9"/>
      <c r="E38" s="9"/>
    </row>
    <row r="39" ht="8.5" customHeight="1">
      <c r="A39" t="s" s="16">
        <v>110</v>
      </c>
      <c r="B39" s="19"/>
      <c r="C39" s="20"/>
      <c r="D39" s="20"/>
      <c r="E39" s="37"/>
    </row>
    <row r="40" ht="15" customHeight="1">
      <c r="A40" s="19"/>
      <c r="B40" s="4"/>
      <c r="C40" s="4"/>
      <c r="D40" s="4"/>
      <c r="E40" s="30"/>
    </row>
    <row r="41" ht="15" customHeight="1">
      <c r="A41" s="25"/>
      <c r="B41" s="4"/>
      <c r="C41" s="4"/>
      <c r="D41" s="4"/>
      <c r="E41" s="30"/>
    </row>
    <row r="42" ht="15" customHeight="1">
      <c r="A42" s="31"/>
      <c r="B42" s="9"/>
      <c r="C42" s="9"/>
      <c r="D42" s="9"/>
      <c r="E42" s="33"/>
    </row>
  </sheetData>
  <mergeCells count="3">
    <mergeCell ref="A39:E42"/>
    <mergeCell ref="A1:E1"/>
    <mergeCell ref="A38:E38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7"/>
  <sheetViews>
    <sheetView workbookViewId="0" showGridLines="0" defaultGridColor="1"/>
  </sheetViews>
  <sheetFormatPr defaultColWidth="8.83333" defaultRowHeight="15" customHeight="1" outlineLevelRow="0" outlineLevelCol="0"/>
  <cols>
    <col min="1" max="1" width="22" style="55" customWidth="1"/>
    <col min="2" max="2" width="24" style="55" customWidth="1"/>
    <col min="3" max="3" width="16" style="55" customWidth="1"/>
    <col min="4" max="5" width="8.85156" style="55" customWidth="1"/>
    <col min="6" max="16384" width="8.85156" style="55" customWidth="1"/>
  </cols>
  <sheetData>
    <row r="1" ht="16" customHeight="1">
      <c r="A1" t="s" s="56">
        <v>8</v>
      </c>
      <c r="B1" t="s" s="56">
        <v>111</v>
      </c>
      <c r="C1" t="s" s="56">
        <v>112</v>
      </c>
      <c r="D1" s="25"/>
      <c r="E1" s="4"/>
    </row>
    <row r="2" ht="13.55" customHeight="1">
      <c r="A2" t="s" s="57">
        <v>27</v>
      </c>
      <c r="B2" s="48">
        <v>45</v>
      </c>
      <c r="C2" s="48">
        <v>10</v>
      </c>
      <c r="D2" s="25"/>
      <c r="E2" s="4"/>
    </row>
    <row r="3" ht="13.55" customHeight="1">
      <c r="A3" t="s" s="57">
        <v>113</v>
      </c>
      <c r="B3" s="48">
        <v>50</v>
      </c>
      <c r="C3" s="48">
        <v>10</v>
      </c>
      <c r="D3" s="25"/>
      <c r="E3" s="4"/>
    </row>
    <row r="4" ht="13.55" customHeight="1">
      <c r="A4" t="s" s="57">
        <v>114</v>
      </c>
      <c r="B4" s="48">
        <v>60</v>
      </c>
      <c r="C4" s="48">
        <v>10</v>
      </c>
      <c r="D4" s="25"/>
      <c r="E4" s="4"/>
    </row>
    <row r="5" ht="13.55" customHeight="1">
      <c r="A5" t="s" s="57">
        <v>115</v>
      </c>
      <c r="B5" s="48">
        <v>65</v>
      </c>
      <c r="C5" s="48">
        <v>10</v>
      </c>
      <c r="D5" s="25"/>
      <c r="E5" s="4"/>
    </row>
    <row r="6" ht="13.55" customHeight="1">
      <c r="A6" t="s" s="57">
        <v>116</v>
      </c>
      <c r="B6" s="48">
        <v>55</v>
      </c>
      <c r="C6" s="48">
        <v>10</v>
      </c>
      <c r="D6" s="25"/>
      <c r="E6" s="4"/>
    </row>
    <row r="7" ht="13.55" customHeight="1">
      <c r="A7" t="s" s="57">
        <v>117</v>
      </c>
      <c r="B7" s="48">
        <v>55</v>
      </c>
      <c r="C7" s="48">
        <v>10</v>
      </c>
      <c r="D7" s="25"/>
      <c r="E7" s="4"/>
    </row>
    <row r="8" ht="13.55" customHeight="1">
      <c r="A8" t="s" s="57">
        <v>118</v>
      </c>
      <c r="B8" s="48">
        <v>45</v>
      </c>
      <c r="C8" s="48">
        <v>10</v>
      </c>
      <c r="D8" s="25"/>
      <c r="E8" s="4"/>
    </row>
    <row r="9" ht="13.55" customHeight="1">
      <c r="A9" t="s" s="57">
        <v>119</v>
      </c>
      <c r="B9" s="48">
        <v>60</v>
      </c>
      <c r="C9" s="48">
        <v>10</v>
      </c>
      <c r="D9" s="25"/>
      <c r="E9" s="4"/>
    </row>
    <row r="10" ht="13.55" customHeight="1">
      <c r="A10" t="s" s="57">
        <v>120</v>
      </c>
      <c r="B10" s="48">
        <v>55</v>
      </c>
      <c r="C10" s="48">
        <v>10</v>
      </c>
      <c r="D10" s="25"/>
      <c r="E10" s="4"/>
    </row>
    <row r="11" ht="13.55" customHeight="1">
      <c r="A11" t="s" s="57">
        <v>121</v>
      </c>
      <c r="B11" s="48">
        <v>55</v>
      </c>
      <c r="C11" s="48">
        <v>10</v>
      </c>
      <c r="D11" s="25"/>
      <c r="E11" s="4"/>
    </row>
    <row r="12" ht="13.55" customHeight="1">
      <c r="A12" t="s" s="57">
        <v>122</v>
      </c>
      <c r="B12" s="48">
        <v>55</v>
      </c>
      <c r="C12" s="48">
        <v>10</v>
      </c>
      <c r="D12" s="25"/>
      <c r="E12" s="4"/>
    </row>
    <row r="13" ht="13.55" customHeight="1">
      <c r="A13" t="s" s="57">
        <v>123</v>
      </c>
      <c r="B13" s="48">
        <v>55</v>
      </c>
      <c r="C13" s="48">
        <v>10</v>
      </c>
      <c r="D13" s="25"/>
      <c r="E13" s="4"/>
    </row>
    <row r="14" ht="13.55" customHeight="1">
      <c r="A14" t="s" s="57">
        <v>83</v>
      </c>
      <c r="B14" s="48">
        <v>55</v>
      </c>
      <c r="C14" s="48">
        <v>10</v>
      </c>
      <c r="D14" s="25"/>
      <c r="E14" s="4"/>
    </row>
    <row r="15" ht="13.55" customHeight="1">
      <c r="A15" t="s" s="57">
        <v>124</v>
      </c>
      <c r="B15" s="48">
        <v>50</v>
      </c>
      <c r="C15" s="48">
        <v>10</v>
      </c>
      <c r="D15" s="25"/>
      <c r="E15" s="4"/>
    </row>
    <row r="16" ht="13.55" customHeight="1">
      <c r="A16" t="s" s="57">
        <v>35</v>
      </c>
      <c r="B16" s="48">
        <v>0</v>
      </c>
      <c r="C16" s="48">
        <v>0</v>
      </c>
      <c r="D16" s="25"/>
      <c r="E16" s="4"/>
    </row>
    <row r="17" ht="13.55" customHeight="1">
      <c r="A17" t="s" s="57">
        <v>55</v>
      </c>
      <c r="B17" s="48">
        <v>50</v>
      </c>
      <c r="C17" s="48">
        <v>10</v>
      </c>
      <c r="D17" s="25"/>
      <c r="E17" s="4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