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shboard" sheetId="1" r:id="rId5"/>
    <sheet name="Trades &amp; Labour" sheetId="2" r:id="rId6"/>
    <sheet name="Materials &amp; Suppliers" sheetId="3" r:id="rId7"/>
    <sheet name="Remaining" sheetId="4" r:id="rId8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<sst xmlns="http://schemas.openxmlformats.org/spreadsheetml/2006/main" uniqueCount="181">
  <si>
    <t>Category</t>
  </si>
  <si>
    <t>Quoted (£)</t>
  </si>
  <si>
    <t>Actual (£)</t>
  </si>
  <si>
    <t>Paid (£)</t>
  </si>
  <si>
    <t>Remaining (£)</t>
  </si>
  <si>
    <t>Status</t>
  </si>
  <si>
    <t>Trades &amp; Labour</t>
  </si>
  <si>
    <t>✅ On Budget</t>
  </si>
  <si>
    <t>Materials &amp; Suppliers</t>
  </si>
  <si>
    <t>Trade</t>
  </si>
  <si>
    <t>Supplier / Name</t>
  </si>
  <si>
    <t>Date Paid</t>
  </si>
  <si>
    <t>Notes</t>
  </si>
  <si>
    <t>Vince</t>
  </si>
  <si>
    <t>2 days</t>
  </si>
  <si>
    <t>Venkat</t>
  </si>
  <si>
    <t>6 days</t>
  </si>
  <si>
    <t>Dave Gardener</t>
  </si>
  <si>
    <t>James Chippy</t>
  </si>
  <si>
    <t>2 days plus fixings</t>
  </si>
  <si>
    <t>5 days - £540 towards Mac</t>
  </si>
  <si>
    <t>£540 max</t>
  </si>
  <si>
    <t>5 days</t>
  </si>
  <si>
    <t>1 day plus materials</t>
  </si>
  <si>
    <t>5 days labour</t>
  </si>
  <si>
    <t>Venky</t>
  </si>
  <si>
    <t>4 days Venky, 1 day AJ, Anil, Barat</t>
  </si>
  <si>
    <t>Vince + Simon</t>
  </si>
  <si>
    <t>2 days for UFH + Chippy studs in bathrooms (£480 to mac)</t>
  </si>
  <si>
    <t>£480 to mac</t>
  </si>
  <si>
    <t>3 days to finish back garden inc slabbing all around 100m2</t>
  </si>
  <si>
    <t>Dave / Simon</t>
  </si>
  <si>
    <t>5 days - gutters / fascias entire week (! Day on fixing window area)</t>
  </si>
  <si>
    <t>£300 mac</t>
  </si>
  <si>
    <t>Martin Plasterer</t>
  </si>
  <si>
    <t xml:space="preserve">2 days for 3 lads </t>
  </si>
  <si>
    <t>7 man days for labourers….. Turfing... Garden …. Then Thurs Frid helping simon with Fascias</t>
  </si>
  <si>
    <t xml:space="preserve">Plasterers </t>
  </si>
  <si>
    <t>2 plasterers SAT 29/11</t>
  </si>
  <si>
    <t>2 days labour</t>
  </si>
  <si>
    <t>Garden</t>
  </si>
  <si>
    <t xml:space="preserve">clear 7 tree stumps out front </t>
  </si>
  <si>
    <t>Roof clean plus repair</t>
  </si>
  <si>
    <t>dave</t>
  </si>
  <si>
    <t>2 days simon plus materials</t>
  </si>
  <si>
    <t>Tiler</t>
  </si>
  <si>
    <t>Tiler paid - £2500 remaining</t>
  </si>
  <si>
    <t>SRI Kitchen fitters</t>
  </si>
  <si>
    <t>Cash paid</t>
  </si>
  <si>
    <t>Stuart Miscoat</t>
  </si>
  <si>
    <t>Spray miscoat</t>
  </si>
  <si>
    <t>Paid… £1050….  £50 towards Mac</t>
  </si>
  <si>
    <t>£50 to Mac</t>
  </si>
  <si>
    <t>1/2 day …. Dave and co slabbed the front…. 15m2 layed</t>
  </si>
  <si>
    <t>Mickey - Grout Garden</t>
  </si>
  <si>
    <t>Tom Chippie</t>
  </si>
  <si>
    <t>Paid… £30 per hour Tom + £25 / hour for his mate</t>
  </si>
  <si>
    <t>Did all doors, arch + skirting</t>
  </si>
  <si>
    <t xml:space="preserve">2.5 days. </t>
  </si>
  <si>
    <t>1 day dave… finished job</t>
  </si>
  <si>
    <t>Dan Painter</t>
  </si>
  <si>
    <t>3 days Stu @ £160 + 1 day Dan @ £170</t>
  </si>
  <si>
    <t>dan paid £170 towards Spray Paint machine</t>
  </si>
  <si>
    <t>remaining tile labour - £200 for extra adhesive</t>
  </si>
  <si>
    <t>bank transfer</t>
  </si>
  <si>
    <t>Dave Chippie</t>
  </si>
  <si>
    <t>Chippie for bespoke cupboard in utility</t>
  </si>
  <si>
    <t>£200 rowards paint sprayer</t>
  </si>
  <si>
    <t>£70 to paint sprayer</t>
  </si>
  <si>
    <t>final clean up, soffit paints etc</t>
  </si>
  <si>
    <t>Item</t>
  </si>
  <si>
    <t>Supplier</t>
  </si>
  <si>
    <t>Unit Cost (£)</t>
  </si>
  <si>
    <t>Quantity</t>
  </si>
  <si>
    <t>Total (£)</t>
  </si>
  <si>
    <t>Alspec Windows</t>
  </si>
  <si>
    <t xml:space="preserve">Bank T Walkern  </t>
  </si>
  <si>
    <t>Stevenage Skips</t>
  </si>
  <si>
    <t>Cash payment</t>
  </si>
  <si>
    <t>Wunda UFH</t>
  </si>
  <si>
    <t>Bank T Walkern - Deposit paid 90% remaining</t>
  </si>
  <si>
    <t>Wunda UFH - Bank T</t>
  </si>
  <si>
    <t>Kitchen- Cabinets Direct</t>
  </si>
  <si>
    <t>Paid Cash - £2500 remaining</t>
  </si>
  <si>
    <t>Lawsons</t>
  </si>
  <si>
    <t>Paid Mama</t>
  </si>
  <si>
    <t>Door Liners + Timber</t>
  </si>
  <si>
    <t>Plywood</t>
  </si>
  <si>
    <t>Tree Clearence - Garden</t>
  </si>
  <si>
    <t xml:space="preserve">Paid Cash </t>
  </si>
  <si>
    <t>Electrics</t>
  </si>
  <si>
    <t>Paid Cash</t>
  </si>
  <si>
    <t>£5,000 to pay</t>
  </si>
  <si>
    <t>Plumbing</t>
  </si>
  <si>
    <t>£8000 to pay</t>
  </si>
  <si>
    <t>Lawsons - Garden £500</t>
  </si>
  <si>
    <t>Sleepers + Timber</t>
  </si>
  <si>
    <t>Distribution Tiles - GARDEN</t>
  </si>
  <si>
    <t>Outdoor tiles…. 130m2</t>
  </si>
  <si>
    <t>Alpec Windows</t>
  </si>
  <si>
    <t>Paid cash</t>
  </si>
  <si>
    <t>£7000 to pay</t>
  </si>
  <si>
    <t>Pro Tiler</t>
  </si>
  <si>
    <t xml:space="preserve">Paid AMEX - Prima + ditra + Adhesive </t>
  </si>
  <si>
    <t>Sam- Hedge removal + clear - Garden</t>
  </si>
  <si>
    <t>paid cash</t>
  </si>
  <si>
    <t>Lusso Stone</t>
  </si>
  <si>
    <t>Paid dad debit card</t>
  </si>
  <si>
    <t>Bathroom sanitary</t>
  </si>
  <si>
    <t>Eurocell</t>
  </si>
  <si>
    <t>Fascia +Gutter</t>
  </si>
  <si>
    <t>paid cap on tap watton card</t>
  </si>
  <si>
    <t>Plaster materials</t>
  </si>
  <si>
    <t>Hauws Gray - Garden</t>
  </si>
  <si>
    <t>Paid cash for bullnose garden etc</t>
  </si>
  <si>
    <t>garden</t>
  </si>
  <si>
    <t>Distribution Tiles</t>
  </si>
  <si>
    <t>Paid via shop</t>
  </si>
  <si>
    <t>tiles for entire floor of GF + bathrooms</t>
  </si>
  <si>
    <t>Rest of bathroom - Various</t>
  </si>
  <si>
    <t>paid mama</t>
  </si>
  <si>
    <t>sheet covering</t>
  </si>
  <si>
    <t>George Davies Turf - Garden</t>
  </si>
  <si>
    <t>Turf back garden only</t>
  </si>
  <si>
    <t>Tool Station</t>
  </si>
  <si>
    <t>Cap on tap</t>
  </si>
  <si>
    <t>Build BASE - Garden</t>
  </si>
  <si>
    <t>Drain covers back garden tile</t>
  </si>
  <si>
    <t>dad debit card</t>
  </si>
  <si>
    <t>adhesive + self leveller for bedrooom</t>
  </si>
  <si>
    <t>Clearence guys</t>
  </si>
  <si>
    <t>plumbing £4000 to pay</t>
  </si>
  <si>
    <t>welwyn skips</t>
  </si>
  <si>
    <t>skip</t>
  </si>
  <si>
    <t>Howdens</t>
  </si>
  <si>
    <t>on account</t>
  </si>
  <si>
    <t>All doors, arch, hardware skirts</t>
  </si>
  <si>
    <t>mama</t>
  </si>
  <si>
    <t>timber for bathroom floor cover</t>
  </si>
  <si>
    <t>Tops tiles</t>
  </si>
  <si>
    <t>grout etc</t>
  </si>
  <si>
    <t>gills plumbing</t>
  </si>
  <si>
    <t>sanj card</t>
  </si>
  <si>
    <t>rest of bathroom</t>
  </si>
  <si>
    <t>£900 to pay when drawers swap</t>
  </si>
  <si>
    <t>Johnstones Paint</t>
  </si>
  <si>
    <t>dad card</t>
  </si>
  <si>
    <t>paint for mistcoat</t>
  </si>
  <si>
    <t>AC Tools</t>
  </si>
  <si>
    <t>adhesives for skirting etc</t>
  </si>
  <si>
    <t>Grass for garden front</t>
  </si>
  <si>
    <t>Skips</t>
  </si>
  <si>
    <t>Tiles - Trims etc</t>
  </si>
  <si>
    <t>Adhesives, grout, trims etc</t>
  </si>
  <si>
    <t>£3000 to pay</t>
  </si>
  <si>
    <t>Paid via invoices to shops</t>
  </si>
  <si>
    <t>tiles for bathrooms</t>
  </si>
  <si>
    <t>Appliances Kitchen</t>
  </si>
  <si>
    <t xml:space="preserve">Cawdor </t>
  </si>
  <si>
    <t>Stone…. 3 slabs for Kitchen plus utility 1 slab</t>
  </si>
  <si>
    <t>Full electrics paid for</t>
  </si>
  <si>
    <t>debit card dad</t>
  </si>
  <si>
    <t xml:space="preserve">paint for house </t>
  </si>
  <si>
    <t>£1500 REMAINING</t>
  </si>
  <si>
    <t>Misc cupboard materials</t>
  </si>
  <si>
    <t>£1000 final payment</t>
  </si>
  <si>
    <t>Carpets</t>
  </si>
  <si>
    <t>carpets for house</t>
  </si>
  <si>
    <t>to be paid</t>
  </si>
  <si>
    <t xml:space="preserve">Staging </t>
  </si>
  <si>
    <t>paid</t>
  </si>
  <si>
    <t>Driveway Clean + front garden cleared</t>
  </si>
  <si>
    <t>Kevin</t>
  </si>
  <si>
    <t>Mastic Man</t>
  </si>
  <si>
    <t>paid for 2 bathrooms plus kitchen</t>
  </si>
  <si>
    <t>Amount</t>
  </si>
  <si>
    <t>Items</t>
  </si>
  <si>
    <t>Mama</t>
  </si>
  <si>
    <t>January</t>
  </si>
  <si>
    <t>£3k</t>
  </si>
  <si>
    <t>cash to pay but all accounted and detailed under materials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</si>
</sst>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[$£-809]#,##0&quot; &quot;;([$£-809]#,##0)"/>
    <numFmt numFmtId="60" formatCode="[$£-809]0.00"/>
    <numFmt numFmtId="61" formatCode="[$£-809]#,##0.00&quot; &quot;;([$£-809]#,##0.00)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16" fontId="0" borderId="4" applyNumberFormat="1" applyFont="1" applyFill="0" applyBorder="1" applyAlignment="1" applyProtection="0">
      <alignment vertical="bottom"/>
    </xf>
    <xf numFmtId="59" fontId="0" borderId="5" applyNumberFormat="1" applyFont="1" applyFill="0" applyBorder="1" applyAlignment="1" applyProtection="0">
      <alignment vertical="bottom"/>
    </xf>
    <xf numFmtId="16" fontId="0" borderId="5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49" fontId="3" fillId="4" borderId="2" applyNumberFormat="1" applyFont="1" applyFill="1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60" fontId="0" borderId="5" applyNumberFormat="1" applyFont="1" applyFill="0" applyBorder="1" applyAlignment="1" applyProtection="0">
      <alignment vertical="bottom"/>
    </xf>
    <xf numFmtId="61" fontId="0" borderId="5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49" fontId="0" fillId="6" borderId="2" applyNumberFormat="1" applyFont="1" applyFill="1" applyBorder="1" applyAlignment="1" applyProtection="0">
      <alignment vertical="bottom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dd8e6"/>
      <rgbColor rgb="ffaaaaaa"/>
      <rgbColor rgb="ff90ee90"/>
      <rgbColor rgb="ffff0000"/>
      <rgbColor rgb="ffffd580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8.83333" defaultRowHeight="15" customHeight="1" outlineLevelRow="0" outlineLevelCol="0"/>
  <cols>
    <col min="1" max="1" width="23" style="1" customWidth="1"/>
    <col min="2" max="4" width="39" style="1" customWidth="1"/>
    <col min="5" max="5" width="15" style="1" customWidth="1"/>
    <col min="6" max="6" width="44" style="1" customWidth="1"/>
    <col min="7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4">
        <v>5</v>
      </c>
    </row>
    <row r="2" ht="13.55" customHeight="1">
      <c r="A2" t="s" s="5">
        <v>6</v>
      </c>
      <c r="B2" s="6" cm="1">
        <f t="array" ref="B2">SUM('Trades &amp; Labour'!C2:C100)</f>
        <v>25430</v>
      </c>
      <c r="C2" s="6" cm="1">
        <f t="array" ref="C2">SUM('Trades &amp; Labour'!D2:D100)</f>
        <v>25430</v>
      </c>
      <c r="D2" s="7" cm="1">
        <f t="array" ref="D2">SUM('Trades &amp; Labour'!E2:E100)</f>
        <v>25430</v>
      </c>
      <c r="E2" s="6" cm="1">
        <f t="array" ref="E2">C2-D2</f>
        <v>0</v>
      </c>
      <c r="F2" t="str" s="8" cm="1">
        <f t="array" ref="F2">IF(D2&lt;=C2,"✅ On Budget","⚠️ Over Budget")</f>
        <v>✅ On Budget</v>
      </c>
    </row>
    <row r="3" ht="13.55" customHeight="1">
      <c r="A3" t="s" s="9">
        <v>8</v>
      </c>
      <c r="B3" s="10" cm="1">
        <f t="array" ref="B3">SUM('Materials &amp; Suppliers'!F2:F99)</f>
        <v>73502.12</v>
      </c>
      <c r="C3" s="10" cm="1">
        <f t="array" ref="C3">SUM('Materials &amp; Suppliers'!G2:G99)</f>
        <v>73502.12</v>
      </c>
      <c r="D3" s="10" cm="1">
        <f t="array" ref="D3">SUM('Materials &amp; Suppliers'!G2:G99)</f>
        <v>73502.12</v>
      </c>
      <c r="E3" s="10" cm="1">
        <f t="array" ref="E3">C3-D3</f>
        <v>0</v>
      </c>
      <c r="F3" t="str" s="11" cm="1">
        <f t="array" ref="F3">IF(D3&lt;=C3,"✅ On Budget","⚠️ Over Budget")</f>
        <v>✅ On Budget</v>
      </c>
    </row>
    <row r="4" ht="13.55" customHeight="1">
      <c r="A4" s="11"/>
      <c r="B4" s="11"/>
      <c r="C4" s="11"/>
      <c r="D4" s="11"/>
      <c r="E4" s="11"/>
      <c r="F4" s="11"/>
    </row>
    <row r="5" ht="13.55" customHeight="1">
      <c r="A5" s="11"/>
      <c r="B5" s="11"/>
      <c r="C5" s="11"/>
      <c r="D5" s="11"/>
      <c r="E5" s="11"/>
      <c r="F5" s="11"/>
    </row>
    <row r="6" ht="13.55" customHeight="1">
      <c r="A6" s="11"/>
      <c r="B6" s="11"/>
      <c r="C6" s="11"/>
      <c r="D6" s="11"/>
      <c r="E6" s="11"/>
      <c r="F6" s="11"/>
    </row>
    <row r="7" ht="13.55" customHeight="1">
      <c r="A7" s="11"/>
      <c r="B7" s="11"/>
      <c r="C7" s="11"/>
      <c r="D7" s="11"/>
      <c r="E7" s="11"/>
      <c r="F7" s="11"/>
    </row>
    <row r="8" ht="13.55" customHeight="1">
      <c r="A8" s="11"/>
      <c r="B8" s="11"/>
      <c r="C8" s="11"/>
      <c r="D8" s="11"/>
      <c r="E8" s="11"/>
      <c r="F8" s="11"/>
    </row>
    <row r="9" ht="13.55" customHeight="1">
      <c r="A9" s="11"/>
      <c r="B9" s="11"/>
      <c r="C9" s="11"/>
      <c r="D9" s="11"/>
      <c r="E9" s="11"/>
      <c r="F9" s="11"/>
    </row>
    <row r="10" ht="13.55" customHeight="1">
      <c r="A10" s="11"/>
      <c r="B10" s="11"/>
      <c r="C10" s="11"/>
      <c r="D10" s="11"/>
      <c r="E10" s="11"/>
      <c r="F10" s="11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J101"/>
  <sheetViews>
    <sheetView workbookViewId="0" showGridLines="0" defaultGridColor="1"/>
  </sheetViews>
  <sheetFormatPr defaultColWidth="8.83333" defaultRowHeight="15" customHeight="1" outlineLevelRow="0" outlineLevelCol="0"/>
  <cols>
    <col min="1" max="1" width="7" style="12" customWidth="1"/>
    <col min="2" max="2" width="17" style="12" customWidth="1"/>
    <col min="3" max="4" width="12" style="12" customWidth="1"/>
    <col min="5" max="5" width="10" style="12" customWidth="1"/>
    <col min="6" max="6" width="11" style="12" customWidth="1"/>
    <col min="7" max="7" width="15" style="12" customWidth="1"/>
    <col min="8" max="8" width="48" style="12" customWidth="1"/>
    <col min="9" max="9" width="49.6719" style="12" customWidth="1"/>
    <col min="10" max="10" width="33.8516" style="12" customWidth="1"/>
    <col min="11" max="16384" width="8.85156" style="12" customWidth="1"/>
  </cols>
  <sheetData>
    <row r="1" ht="15" customHeight="1">
      <c r="A1" t="s" s="13">
        <v>9</v>
      </c>
      <c r="B1" t="s" s="14">
        <v>10</v>
      </c>
      <c r="C1" t="s" s="14">
        <v>1</v>
      </c>
      <c r="D1" t="s" s="14">
        <v>2</v>
      </c>
      <c r="E1" t="s" s="14">
        <v>3</v>
      </c>
      <c r="F1" t="s" s="14">
        <v>11</v>
      </c>
      <c r="G1" t="s" s="14">
        <v>4</v>
      </c>
      <c r="H1" t="s" s="14">
        <v>5</v>
      </c>
      <c r="I1" t="s" s="14">
        <v>12</v>
      </c>
      <c r="J1" s="15"/>
    </row>
    <row r="2" ht="15" customHeight="1">
      <c r="A2" s="8"/>
      <c r="B2" t="s" s="5">
        <v>13</v>
      </c>
      <c r="C2" s="6">
        <v>440</v>
      </c>
      <c r="D2" s="6">
        <v>440</v>
      </c>
      <c r="E2" s="7">
        <v>440</v>
      </c>
      <c r="F2" s="16">
        <v>45978</v>
      </c>
      <c r="G2" s="8"/>
      <c r="H2" t="str" s="8" cm="1">
        <f t="array" ref="H2">IF(D2&lt;=C2,"✅ On Budget","⚠️ Over Budget")</f>
        <v>✅ On Budget</v>
      </c>
      <c r="I2" t="s" s="5">
        <v>14</v>
      </c>
      <c r="J2" s="11"/>
    </row>
    <row r="3" ht="15" customHeight="1">
      <c r="A3" s="11"/>
      <c r="B3" t="s" s="9">
        <v>15</v>
      </c>
      <c r="C3" s="10">
        <v>525</v>
      </c>
      <c r="D3" s="10">
        <v>525</v>
      </c>
      <c r="E3" s="17">
        <v>525</v>
      </c>
      <c r="F3" s="18">
        <v>45978</v>
      </c>
      <c r="G3" s="11"/>
      <c r="H3" t="str" s="11" cm="1">
        <f t="array" ref="H3">IF(D3&lt;=C3,"✅ On Budget","⚠️ Over Budget")</f>
        <v>✅ On Budget</v>
      </c>
      <c r="I3" t="s" s="9">
        <v>16</v>
      </c>
      <c r="J3" s="11"/>
    </row>
    <row r="4" ht="15" customHeight="1">
      <c r="A4" s="11"/>
      <c r="B4" t="s" s="9">
        <v>17</v>
      </c>
      <c r="C4" s="17">
        <v>1350</v>
      </c>
      <c r="D4" s="17">
        <v>1350</v>
      </c>
      <c r="E4" s="17">
        <v>1350</v>
      </c>
      <c r="F4" s="18">
        <v>45978</v>
      </c>
      <c r="G4" s="17" cm="1">
        <f t="array" ref="G4">C4-D4</f>
        <v>0</v>
      </c>
      <c r="H4" t="str" s="11" cm="1">
        <f t="array" ref="H4">IF(D4&lt;=C4,"✅ On Budget","⚠️ Over Budget")</f>
        <v>✅ On Budget</v>
      </c>
      <c r="I4" s="11"/>
      <c r="J4" s="11"/>
    </row>
    <row r="5" ht="15" customHeight="1">
      <c r="A5" s="11"/>
      <c r="B5" t="s" s="9">
        <v>18</v>
      </c>
      <c r="C5" s="17">
        <v>510</v>
      </c>
      <c r="D5" s="17">
        <v>510</v>
      </c>
      <c r="E5" s="17">
        <v>510</v>
      </c>
      <c r="F5" s="18">
        <v>45974</v>
      </c>
      <c r="G5" s="17" cm="1">
        <f t="array" ref="G5">C5-D5</f>
        <v>0</v>
      </c>
      <c r="H5" t="str" s="11" cm="1">
        <f t="array" ref="H5">IF(D5&lt;=C5,"✅ On Budget","⚠️ Over Budget")</f>
        <v>✅ On Budget</v>
      </c>
      <c r="I5" t="s" s="9">
        <v>19</v>
      </c>
      <c r="J5" s="11"/>
    </row>
    <row r="6" ht="15" customHeight="1">
      <c r="A6" s="11"/>
      <c r="B6" t="s" s="9">
        <v>13</v>
      </c>
      <c r="C6" s="17">
        <v>1100</v>
      </c>
      <c r="D6" s="17">
        <v>1100</v>
      </c>
      <c r="E6" s="17">
        <v>1100</v>
      </c>
      <c r="F6" s="18">
        <v>45975</v>
      </c>
      <c r="G6" s="17" cm="1">
        <f t="array" ref="G6">C6-D6</f>
        <v>0</v>
      </c>
      <c r="H6" t="str" s="11" cm="1">
        <f t="array" ref="H6">IF(D6&lt;=C6,"✅ On Budget","⚠️ Over Budget")</f>
        <v>✅ On Budget</v>
      </c>
      <c r="I6" t="s" s="9">
        <v>20</v>
      </c>
      <c r="J6" t="s" s="9">
        <v>21</v>
      </c>
    </row>
    <row r="7" ht="15" customHeight="1">
      <c r="A7" s="11"/>
      <c r="B7" t="s" s="9">
        <v>15</v>
      </c>
      <c r="C7" s="17">
        <v>375</v>
      </c>
      <c r="D7" s="17">
        <v>375</v>
      </c>
      <c r="E7" s="17">
        <v>375</v>
      </c>
      <c r="F7" s="18">
        <v>45975</v>
      </c>
      <c r="G7" s="17" cm="1">
        <f t="array" ref="G7">C7-D7</f>
        <v>0</v>
      </c>
      <c r="H7" t="str" s="11" cm="1">
        <f t="array" ref="H7">IF(D7&lt;=C7,"✅ On Budget","⚠️ Over Budget")</f>
        <v>✅ On Budget</v>
      </c>
      <c r="I7" t="s" s="9">
        <v>22</v>
      </c>
      <c r="J7" s="11"/>
    </row>
    <row r="8" ht="15" customHeight="1">
      <c r="A8" s="11"/>
      <c r="B8" t="s" s="9">
        <v>18</v>
      </c>
      <c r="C8" s="17">
        <v>270</v>
      </c>
      <c r="D8" s="17">
        <v>270</v>
      </c>
      <c r="E8" s="17">
        <v>270</v>
      </c>
      <c r="F8" s="18">
        <v>45981</v>
      </c>
      <c r="G8" s="17" cm="1">
        <f t="array" ref="G8">C8-D8</f>
        <v>0</v>
      </c>
      <c r="H8" t="str" s="11" cm="1">
        <f t="array" ref="H8">IF(D8&lt;=C8,"✅ On Budget","⚠️ Over Budget")</f>
        <v>✅ On Budget</v>
      </c>
      <c r="I8" t="s" s="9">
        <v>23</v>
      </c>
      <c r="J8" s="11"/>
    </row>
    <row r="9" ht="15" customHeight="1">
      <c r="A9" s="11"/>
      <c r="B9" t="s" s="9">
        <v>17</v>
      </c>
      <c r="C9" s="17">
        <v>2250</v>
      </c>
      <c r="D9" s="17">
        <v>2250</v>
      </c>
      <c r="E9" s="17">
        <v>2250</v>
      </c>
      <c r="F9" s="18">
        <v>45982</v>
      </c>
      <c r="G9" s="17" cm="1">
        <f t="array" ref="G9">C9-D9</f>
        <v>0</v>
      </c>
      <c r="H9" t="str" s="11" cm="1">
        <f t="array" ref="H9">IF(D9&lt;=C9,"✅ On Budget","⚠️ Over Budget")</f>
        <v>✅ On Budget</v>
      </c>
      <c r="I9" t="s" s="9">
        <v>24</v>
      </c>
      <c r="J9" s="11"/>
    </row>
    <row r="10" ht="15" customHeight="1">
      <c r="A10" s="11"/>
      <c r="B10" t="s" s="9">
        <v>25</v>
      </c>
      <c r="C10" s="17">
        <v>540</v>
      </c>
      <c r="D10" s="17">
        <v>540</v>
      </c>
      <c r="E10" s="17">
        <v>540</v>
      </c>
      <c r="F10" s="18">
        <v>45982</v>
      </c>
      <c r="G10" s="17" cm="1">
        <f t="array" ref="G10">C10-D10</f>
        <v>0</v>
      </c>
      <c r="H10" t="str" s="11" cm="1">
        <f t="array" ref="H10">IF(D10&lt;=C10,"✅ On Budget","⚠️ Over Budget")</f>
        <v>✅ On Budget</v>
      </c>
      <c r="I10" t="s" s="9">
        <v>26</v>
      </c>
      <c r="J10" s="11"/>
    </row>
    <row r="11" ht="15" customHeight="1">
      <c r="A11" s="11"/>
      <c r="B11" t="s" s="9">
        <v>27</v>
      </c>
      <c r="C11" s="17">
        <v>440</v>
      </c>
      <c r="D11" s="17">
        <v>440</v>
      </c>
      <c r="E11" s="17">
        <v>440</v>
      </c>
      <c r="F11" s="18">
        <v>45982</v>
      </c>
      <c r="G11" s="17" cm="1">
        <f t="array" ref="G11">C11-D11</f>
        <v>0</v>
      </c>
      <c r="H11" t="str" s="11" cm="1">
        <f t="array" ref="H11">IF(D11&lt;=C11,"✅ On Budget","⚠️ Over Budget")</f>
        <v>✅ On Budget</v>
      </c>
      <c r="I11" t="s" s="9">
        <v>28</v>
      </c>
      <c r="J11" t="s" s="9">
        <v>29</v>
      </c>
    </row>
    <row r="12" ht="15" customHeight="1">
      <c r="A12" s="11"/>
      <c r="B12" t="s" s="9">
        <v>17</v>
      </c>
      <c r="C12" s="17">
        <v>1350</v>
      </c>
      <c r="D12" s="17">
        <v>1350</v>
      </c>
      <c r="E12" s="17">
        <v>1350</v>
      </c>
      <c r="F12" s="18">
        <v>45989</v>
      </c>
      <c r="G12" s="17" cm="1">
        <f t="array" ref="G12">C12-D12</f>
        <v>0</v>
      </c>
      <c r="H12" t="str" s="11" cm="1">
        <f t="array" ref="H12">IF(D12&lt;=C12,"✅ On Budget","⚠️ Over Budget")</f>
        <v>✅ On Budget</v>
      </c>
      <c r="I12" t="s" s="9">
        <v>30</v>
      </c>
      <c r="J12" s="11"/>
    </row>
    <row r="13" ht="15" customHeight="1">
      <c r="A13" s="11"/>
      <c r="B13" t="s" s="9">
        <v>31</v>
      </c>
      <c r="C13" s="17">
        <v>1100</v>
      </c>
      <c r="D13" s="17">
        <v>1100</v>
      </c>
      <c r="E13" s="17">
        <v>1100</v>
      </c>
      <c r="F13" s="18">
        <v>45989</v>
      </c>
      <c r="G13" s="17" cm="1">
        <f t="array" ref="G13">C13-D13</f>
        <v>0</v>
      </c>
      <c r="H13" t="str" s="11" cm="1">
        <f t="array" ref="H13">IF(D13&lt;=C13,"✅ On Budget","⚠️ Over Budget")</f>
        <v>✅ On Budget</v>
      </c>
      <c r="I13" t="s" s="9">
        <v>32</v>
      </c>
      <c r="J13" t="s" s="9">
        <v>33</v>
      </c>
    </row>
    <row r="14" ht="15" customHeight="1">
      <c r="A14" s="11"/>
      <c r="B14" t="s" s="9">
        <v>34</v>
      </c>
      <c r="C14" s="17">
        <v>1000</v>
      </c>
      <c r="D14" s="17">
        <v>1000</v>
      </c>
      <c r="E14" s="17">
        <v>1000</v>
      </c>
      <c r="F14" s="18">
        <v>45989</v>
      </c>
      <c r="G14" s="17" cm="1">
        <f t="array" ref="G14">C14-D14</f>
        <v>0</v>
      </c>
      <c r="H14" t="str" s="11" cm="1">
        <f t="array" ref="H14">IF(D14&lt;=C14,"✅ On Budget","⚠️ Over Budget")</f>
        <v>✅ On Budget</v>
      </c>
      <c r="I14" t="s" s="9">
        <v>35</v>
      </c>
      <c r="J14" s="11"/>
    </row>
    <row r="15" ht="15" customHeight="1">
      <c r="A15" s="11"/>
      <c r="B15" t="s" s="9">
        <v>25</v>
      </c>
      <c r="C15" s="17">
        <v>525</v>
      </c>
      <c r="D15" s="17">
        <v>525</v>
      </c>
      <c r="E15" s="17">
        <v>525</v>
      </c>
      <c r="F15" s="18">
        <v>45989</v>
      </c>
      <c r="G15" s="17" cm="1">
        <f t="array" ref="G15">C15-D15</f>
        <v>0</v>
      </c>
      <c r="H15" t="str" s="11" cm="1">
        <f t="array" ref="H15">IF(D15&lt;=C15,"✅ On Budget","⚠️ Over Budget")</f>
        <v>✅ On Budget</v>
      </c>
      <c r="I15" t="s" s="9">
        <v>36</v>
      </c>
      <c r="J15" s="11"/>
    </row>
    <row r="16" ht="15" customHeight="1">
      <c r="A16" s="11"/>
      <c r="B16" t="s" s="9">
        <v>37</v>
      </c>
      <c r="C16" s="17">
        <v>400</v>
      </c>
      <c r="D16" s="17">
        <v>400</v>
      </c>
      <c r="E16" s="17">
        <v>400</v>
      </c>
      <c r="F16" s="18">
        <v>45990</v>
      </c>
      <c r="G16" s="17" cm="1">
        <f t="array" ref="G16">C16-D16</f>
        <v>0</v>
      </c>
      <c r="H16" t="str" s="11" cm="1">
        <f t="array" ref="H16">IF(D16&lt;=C16,"✅ On Budget","⚠️ Over Budget")</f>
        <v>✅ On Budget</v>
      </c>
      <c r="I16" t="s" s="9">
        <v>38</v>
      </c>
      <c r="J16" s="11"/>
    </row>
    <row r="17" ht="15" customHeight="1">
      <c r="A17" s="11"/>
      <c r="B17" t="s" s="9">
        <v>25</v>
      </c>
      <c r="C17" s="17">
        <v>150</v>
      </c>
      <c r="D17" s="17">
        <v>150</v>
      </c>
      <c r="E17" s="17">
        <v>150</v>
      </c>
      <c r="F17" s="18">
        <v>45996</v>
      </c>
      <c r="G17" s="17" cm="1">
        <f t="array" ref="G17">C17-D17</f>
        <v>0</v>
      </c>
      <c r="H17" t="str" s="11" cm="1">
        <f t="array" ref="H17">IF(D17&lt;=C17,"✅ On Budget","⚠️ Over Budget")</f>
        <v>✅ On Budget</v>
      </c>
      <c r="I17" t="s" s="9">
        <v>39</v>
      </c>
      <c r="J17" s="11"/>
    </row>
    <row r="18" ht="15" customHeight="1">
      <c r="A18" s="11"/>
      <c r="B18" t="s" s="9">
        <v>40</v>
      </c>
      <c r="C18" s="17">
        <v>300</v>
      </c>
      <c r="D18" s="17">
        <v>300</v>
      </c>
      <c r="E18" s="17">
        <v>300</v>
      </c>
      <c r="F18" s="18">
        <v>45996</v>
      </c>
      <c r="G18" s="17" cm="1">
        <f t="array" ref="G18">C18-D18</f>
        <v>0</v>
      </c>
      <c r="H18" t="str" s="11" cm="1">
        <f t="array" ref="H18">IF(D18&lt;=C18,"✅ On Budget","⚠️ Over Budget")</f>
        <v>✅ On Budget</v>
      </c>
      <c r="I18" t="s" s="9">
        <v>41</v>
      </c>
      <c r="J18" s="11"/>
    </row>
    <row r="19" ht="15" customHeight="1">
      <c r="A19" s="11"/>
      <c r="B19" t="s" s="9">
        <v>42</v>
      </c>
      <c r="C19" s="17">
        <v>1300</v>
      </c>
      <c r="D19" s="17">
        <v>1300</v>
      </c>
      <c r="E19" s="17">
        <v>1300</v>
      </c>
      <c r="F19" s="18">
        <v>45996</v>
      </c>
      <c r="G19" s="17" cm="1">
        <f t="array" ref="G19">C19-D19</f>
        <v>0</v>
      </c>
      <c r="H19" t="str" s="11" cm="1">
        <f t="array" ref="H19">IF(D19&lt;=C19,"✅ On Budget","⚠️ Over Budget")</f>
        <v>✅ On Budget</v>
      </c>
      <c r="I19" s="11"/>
      <c r="J19" s="11"/>
    </row>
    <row r="20" ht="15" customHeight="1">
      <c r="A20" s="11"/>
      <c r="B20" t="s" s="9">
        <v>43</v>
      </c>
      <c r="C20" s="17">
        <v>460</v>
      </c>
      <c r="D20" s="17">
        <v>460</v>
      </c>
      <c r="E20" s="17">
        <v>460</v>
      </c>
      <c r="F20" s="18">
        <v>45996</v>
      </c>
      <c r="G20" s="17" cm="1">
        <f t="array" ref="G20">C20-D20</f>
        <v>0</v>
      </c>
      <c r="H20" t="str" s="11" cm="1">
        <f t="array" ref="H20">IF(D20&lt;=C20,"✅ On Budget","⚠️ Over Budget")</f>
        <v>✅ On Budget</v>
      </c>
      <c r="I20" t="s" s="9">
        <v>44</v>
      </c>
      <c r="J20" s="11"/>
    </row>
    <row r="21" ht="15" customHeight="1">
      <c r="A21" s="11"/>
      <c r="B21" t="s" s="9">
        <v>45</v>
      </c>
      <c r="C21" s="17">
        <v>1500</v>
      </c>
      <c r="D21" s="17">
        <v>1500</v>
      </c>
      <c r="E21" s="17">
        <v>1500</v>
      </c>
      <c r="F21" s="18">
        <v>45996</v>
      </c>
      <c r="G21" s="17" cm="1">
        <f t="array" ref="G21">C21-D21</f>
        <v>0</v>
      </c>
      <c r="H21" t="str" s="11" cm="1">
        <f t="array" ref="H21">IF(D21&lt;=C21,"✅ On Budget","⚠️ Over Budget")</f>
        <v>✅ On Budget</v>
      </c>
      <c r="I21" t="s" s="9">
        <v>46</v>
      </c>
      <c r="J21" s="11"/>
    </row>
    <row r="22" ht="15" customHeight="1">
      <c r="A22" s="11"/>
      <c r="B22" t="s" s="9">
        <v>47</v>
      </c>
      <c r="C22" s="17">
        <v>1600</v>
      </c>
      <c r="D22" s="17">
        <v>1600</v>
      </c>
      <c r="E22" s="17">
        <v>1600</v>
      </c>
      <c r="F22" s="18">
        <v>46003</v>
      </c>
      <c r="G22" s="17" cm="1">
        <f t="array" ref="G22">C22-D22</f>
        <v>0</v>
      </c>
      <c r="H22" t="str" s="11" cm="1">
        <f t="array" ref="H22">IF(D22&lt;=C22,"✅ On Budget","⚠️ Over Budget")</f>
        <v>✅ On Budget</v>
      </c>
      <c r="I22" t="s" s="9">
        <v>48</v>
      </c>
      <c r="J22" s="11"/>
    </row>
    <row r="23" ht="15" customHeight="1">
      <c r="A23" s="11"/>
      <c r="B23" t="s" s="9">
        <v>45</v>
      </c>
      <c r="C23" s="17">
        <v>1000</v>
      </c>
      <c r="D23" s="17">
        <v>1000</v>
      </c>
      <c r="E23" s="17">
        <v>1000</v>
      </c>
      <c r="F23" s="18">
        <v>46003</v>
      </c>
      <c r="G23" s="17" cm="1">
        <f t="array" ref="G23">C23-D23</f>
        <v>0</v>
      </c>
      <c r="H23" t="str" s="11" cm="1">
        <f t="array" ref="H23">IF(D23&lt;=C23,"✅ On Budget","⚠️ Over Budget")</f>
        <v>✅ On Budget</v>
      </c>
      <c r="I23" s="11"/>
      <c r="J23" s="11"/>
    </row>
    <row r="24" ht="15" customHeight="1">
      <c r="A24" s="11"/>
      <c r="B24" t="s" s="9">
        <v>49</v>
      </c>
      <c r="C24" s="17">
        <v>150</v>
      </c>
      <c r="D24" s="17">
        <v>150</v>
      </c>
      <c r="E24" s="17">
        <v>150</v>
      </c>
      <c r="F24" s="18">
        <v>46003</v>
      </c>
      <c r="G24" s="17" cm="1">
        <f t="array" ref="G24">C24-D24</f>
        <v>0</v>
      </c>
      <c r="H24" t="str" s="11" cm="1">
        <f t="array" ref="H24">IF(D24&lt;=C24,"✅ On Budget","⚠️ Over Budget")</f>
        <v>✅ On Budget</v>
      </c>
      <c r="I24" t="s" s="9">
        <v>50</v>
      </c>
      <c r="J24" s="11"/>
    </row>
    <row r="25" ht="15" customHeight="1">
      <c r="A25" s="11"/>
      <c r="B25" t="s" s="9">
        <v>31</v>
      </c>
      <c r="C25" s="17">
        <v>1100</v>
      </c>
      <c r="D25" s="17">
        <v>1100</v>
      </c>
      <c r="E25" s="17">
        <v>1100</v>
      </c>
      <c r="F25" s="18">
        <v>46003</v>
      </c>
      <c r="G25" s="17" cm="1">
        <f t="array" ref="G25">C25-D25</f>
        <v>0</v>
      </c>
      <c r="H25" t="str" s="11" cm="1">
        <f t="array" ref="H25">IF(D25&lt;=C25,"✅ On Budget","⚠️ Over Budget")</f>
        <v>✅ On Budget</v>
      </c>
      <c r="I25" t="s" s="9">
        <v>51</v>
      </c>
      <c r="J25" t="s" s="9">
        <v>52</v>
      </c>
    </row>
    <row r="26" ht="15" customHeight="1">
      <c r="A26" s="11"/>
      <c r="B26" t="s" s="9">
        <v>17</v>
      </c>
      <c r="C26" s="17">
        <v>225</v>
      </c>
      <c r="D26" s="17">
        <v>225</v>
      </c>
      <c r="E26" s="17">
        <v>225</v>
      </c>
      <c r="F26" s="18">
        <v>46003</v>
      </c>
      <c r="G26" s="17" cm="1">
        <f t="array" ref="G26">C26-D26</f>
        <v>0</v>
      </c>
      <c r="H26" t="str" s="11" cm="1">
        <f t="array" ref="H26">IF(D26&lt;=C26,"✅ On Budget","⚠️ Over Budget")</f>
        <v>✅ On Budget</v>
      </c>
      <c r="I26" t="s" s="9">
        <v>53</v>
      </c>
      <c r="J26" s="11"/>
    </row>
    <row r="27" ht="15" customHeight="1">
      <c r="A27" s="11"/>
      <c r="B27" t="s" s="9">
        <v>54</v>
      </c>
      <c r="C27" s="17">
        <v>150</v>
      </c>
      <c r="D27" s="17">
        <v>150</v>
      </c>
      <c r="E27" s="17">
        <v>150</v>
      </c>
      <c r="F27" s="18">
        <v>46004</v>
      </c>
      <c r="G27" s="17" cm="1">
        <f t="array" ref="G27">C27-D27</f>
        <v>0</v>
      </c>
      <c r="H27" t="str" s="11" cm="1">
        <f t="array" ref="H27">IF(D27&lt;=C27,"✅ On Budget","⚠️ Over Budget")</f>
        <v>✅ On Budget</v>
      </c>
      <c r="I27" s="11"/>
      <c r="J27" s="11"/>
    </row>
    <row r="28" ht="15" customHeight="1">
      <c r="A28" s="11"/>
      <c r="B28" t="s" s="9">
        <v>55</v>
      </c>
      <c r="C28" s="17">
        <v>565</v>
      </c>
      <c r="D28" s="17">
        <v>565</v>
      </c>
      <c r="E28" s="17">
        <v>565</v>
      </c>
      <c r="F28" s="18">
        <v>45975</v>
      </c>
      <c r="G28" s="17" cm="1">
        <f t="array" ref="G28">C28-D28</f>
        <v>0</v>
      </c>
      <c r="H28" t="str" s="11" cm="1">
        <f t="array" ref="H28">IF(D28&lt;=C28,"✅ On Budget","⚠️ Over Budget")</f>
        <v>✅ On Budget</v>
      </c>
      <c r="I28" t="s" s="9">
        <v>56</v>
      </c>
      <c r="J28" t="s" s="9">
        <v>57</v>
      </c>
    </row>
    <row r="29" ht="15" customHeight="1">
      <c r="A29" s="11"/>
      <c r="B29" t="s" s="9">
        <v>25</v>
      </c>
      <c r="C29" s="17">
        <v>150</v>
      </c>
      <c r="D29" s="17">
        <v>150</v>
      </c>
      <c r="E29" s="17">
        <v>150</v>
      </c>
      <c r="F29" s="18">
        <v>46006</v>
      </c>
      <c r="G29" s="17" cm="1">
        <f t="array" ref="G29">C29-D29</f>
        <v>0</v>
      </c>
      <c r="H29" t="str" s="11" cm="1">
        <f t="array" ref="H29">IF(D29&lt;=C29,"✅ On Budget","⚠️ Over Budget")</f>
        <v>✅ On Budget</v>
      </c>
      <c r="I29" t="s" s="9">
        <v>58</v>
      </c>
      <c r="J29" s="11"/>
    </row>
    <row r="30" ht="15" customHeight="1">
      <c r="A30" s="11"/>
      <c r="B30" t="s" s="9">
        <v>17</v>
      </c>
      <c r="C30" s="17">
        <v>300</v>
      </c>
      <c r="D30" s="17">
        <v>300</v>
      </c>
      <c r="E30" s="17">
        <v>300</v>
      </c>
      <c r="F30" s="18">
        <v>46006</v>
      </c>
      <c r="G30" s="17" cm="1">
        <f t="array" ref="G30">C30-D30</f>
        <v>0</v>
      </c>
      <c r="H30" t="str" s="11" cm="1">
        <f t="array" ref="H30">IF(D30&lt;=C30,"✅ On Budget","⚠️ Over Budget")</f>
        <v>✅ On Budget</v>
      </c>
      <c r="I30" t="s" s="9">
        <v>59</v>
      </c>
      <c r="J30" s="11"/>
    </row>
    <row r="31" ht="15" customHeight="1">
      <c r="A31" s="11"/>
      <c r="B31" t="s" s="9">
        <v>60</v>
      </c>
      <c r="C31" s="17">
        <v>650</v>
      </c>
      <c r="D31" s="17">
        <v>650</v>
      </c>
      <c r="E31" s="17">
        <v>650</v>
      </c>
      <c r="F31" s="18">
        <v>46010</v>
      </c>
      <c r="G31" s="17" cm="1">
        <f t="array" ref="G31">C31-D31</f>
        <v>0</v>
      </c>
      <c r="H31" t="str" s="11" cm="1">
        <f t="array" ref="H31">IF(D31&lt;=C31,"✅ On Budget","⚠️ Over Budget")</f>
        <v>✅ On Budget</v>
      </c>
      <c r="I31" t="s" s="9">
        <v>61</v>
      </c>
      <c r="J31" t="s" s="9">
        <v>62</v>
      </c>
    </row>
    <row r="32" ht="15" customHeight="1">
      <c r="A32" s="11"/>
      <c r="B32" t="s" s="9">
        <v>45</v>
      </c>
      <c r="C32" s="17">
        <v>1610</v>
      </c>
      <c r="D32" s="17">
        <v>1610</v>
      </c>
      <c r="E32" s="17">
        <v>1610</v>
      </c>
      <c r="F32" s="18">
        <v>46010</v>
      </c>
      <c r="G32" s="17" cm="1">
        <f t="array" ref="G32">C32-D32</f>
        <v>0</v>
      </c>
      <c r="H32" t="str" s="11" cm="1">
        <f t="array" ref="H32">IF(D32&lt;=C32,"✅ On Budget","⚠️ Over Budget")</f>
        <v>✅ On Budget</v>
      </c>
      <c r="I32" t="s" s="9">
        <v>63</v>
      </c>
      <c r="J32" s="11"/>
    </row>
    <row r="33" ht="15" customHeight="1">
      <c r="A33" s="11"/>
      <c r="B33" t="s" s="9">
        <v>60</v>
      </c>
      <c r="C33" s="17">
        <v>550</v>
      </c>
      <c r="D33" s="17">
        <v>550</v>
      </c>
      <c r="E33" s="17">
        <v>550</v>
      </c>
      <c r="F33" s="18">
        <v>46014</v>
      </c>
      <c r="G33" s="17" cm="1">
        <f t="array" ref="G33">C33-D33</f>
        <v>0</v>
      </c>
      <c r="H33" t="str" s="11" cm="1">
        <f t="array" ref="H33">IF(D33&lt;=C33,"✅ On Budget","⚠️ Over Budget")</f>
        <v>✅ On Budget</v>
      </c>
      <c r="I33" t="s" s="9">
        <v>64</v>
      </c>
      <c r="J33" s="11"/>
    </row>
    <row r="34" ht="15" customHeight="1">
      <c r="A34" s="11"/>
      <c r="B34" t="s" s="9">
        <v>65</v>
      </c>
      <c r="C34" s="17">
        <v>220</v>
      </c>
      <c r="D34" s="17">
        <v>220</v>
      </c>
      <c r="E34" s="17">
        <v>220</v>
      </c>
      <c r="F34" s="18">
        <v>46031</v>
      </c>
      <c r="G34" s="17" cm="1">
        <f t="array" ref="G34">C34-D34</f>
        <v>0</v>
      </c>
      <c r="H34" t="str" s="11" cm="1">
        <f t="array" ref="H34">IF(D34&lt;=C34,"✅ On Budget","⚠️ Over Budget")</f>
        <v>✅ On Budget</v>
      </c>
      <c r="I34" t="s" s="9">
        <v>66</v>
      </c>
      <c r="J34" s="11"/>
    </row>
    <row r="35" ht="15" customHeight="1">
      <c r="A35" s="11"/>
      <c r="B35" t="s" s="9">
        <v>60</v>
      </c>
      <c r="C35" s="17">
        <v>1075</v>
      </c>
      <c r="D35" s="17">
        <v>1075</v>
      </c>
      <c r="E35" s="17">
        <v>1075</v>
      </c>
      <c r="F35" s="18">
        <v>46031</v>
      </c>
      <c r="G35" s="17" cm="1">
        <f t="array" ref="G35">C35-D35</f>
        <v>0</v>
      </c>
      <c r="H35" t="str" s="11" cm="1">
        <f t="array" ref="H35">IF(D35&lt;=C35,"✅ On Budget","⚠️ Over Budget")</f>
        <v>✅ On Budget</v>
      </c>
      <c r="I35" s="11"/>
      <c r="J35" t="s" s="9">
        <v>67</v>
      </c>
    </row>
    <row r="36" ht="15" customHeight="1">
      <c r="A36" s="11"/>
      <c r="B36" t="s" s="9">
        <v>60</v>
      </c>
      <c r="C36" s="17">
        <v>100</v>
      </c>
      <c r="D36" s="17">
        <v>100</v>
      </c>
      <c r="E36" s="17">
        <v>100</v>
      </c>
      <c r="F36" s="18">
        <v>46038</v>
      </c>
      <c r="G36" s="17" cm="1">
        <f t="array" ref="G36">C36-D36</f>
        <v>0</v>
      </c>
      <c r="H36" t="str" s="11" cm="1">
        <f t="array" ref="H36">IF(D36&lt;=C36,"✅ On Budget","⚠️ Over Budget")</f>
        <v>✅ On Budget</v>
      </c>
      <c r="I36" s="11"/>
      <c r="J36" t="s" s="9">
        <v>68</v>
      </c>
    </row>
    <row r="37" ht="15" customHeight="1">
      <c r="A37" s="11"/>
      <c r="B37" t="s" s="9">
        <v>15</v>
      </c>
      <c r="C37" s="17">
        <v>100</v>
      </c>
      <c r="D37" s="17">
        <v>100</v>
      </c>
      <c r="E37" s="17">
        <v>100</v>
      </c>
      <c r="F37" s="18">
        <v>46038</v>
      </c>
      <c r="G37" s="17" cm="1">
        <f t="array" ref="G37">C37-D37</f>
        <v>0</v>
      </c>
      <c r="H37" t="str" s="11" cm="1">
        <f t="array" ref="H37">IF(D37&lt;=C37,"✅ On Budget","⚠️ Over Budget")</f>
        <v>✅ On Budget</v>
      </c>
      <c r="I37" t="s" s="9">
        <v>69</v>
      </c>
      <c r="J37" s="11"/>
    </row>
    <row r="38" ht="15" customHeight="1">
      <c r="A38" s="11"/>
      <c r="B38" s="11"/>
      <c r="C38" s="17"/>
      <c r="D38" s="17"/>
      <c r="E38" s="17"/>
      <c r="F38" s="18"/>
      <c r="G38" s="17" cm="1">
        <f t="array" ref="G38">C38-D38</f>
        <v>0</v>
      </c>
      <c r="H38" t="str" s="11" cm="1">
        <f t="array" ref="H38">IF(D38&lt;=C38,"✅ On Budget","⚠️ Over Budget")</f>
        <v>✅ On Budget</v>
      </c>
      <c r="I38" s="11"/>
      <c r="J38" s="11"/>
    </row>
    <row r="39" ht="15" customHeight="1">
      <c r="A39" s="11"/>
      <c r="B39" s="11"/>
      <c r="C39" s="17"/>
      <c r="D39" s="17"/>
      <c r="E39" s="17"/>
      <c r="F39" s="18"/>
      <c r="G39" s="17" cm="1">
        <f t="array" ref="G39">C39-D39</f>
        <v>0</v>
      </c>
      <c r="H39" t="str" s="11" cm="1">
        <f t="array" ref="H39">IF(D39&lt;=C39,"✅ On Budget","⚠️ Over Budget")</f>
        <v>✅ On Budget</v>
      </c>
      <c r="I39" s="11"/>
      <c r="J39" s="11"/>
    </row>
    <row r="40" ht="15" customHeight="1">
      <c r="A40" s="11"/>
      <c r="B40" s="11"/>
      <c r="C40" s="17"/>
      <c r="D40" s="17"/>
      <c r="E40" s="17"/>
      <c r="F40" s="18"/>
      <c r="G40" s="17" cm="1">
        <f t="array" ref="G40">C40-D40</f>
        <v>0</v>
      </c>
      <c r="H40" t="str" s="11" cm="1">
        <f t="array" ref="H40">IF(D40&lt;=C40,"✅ On Budget","⚠️ Over Budget")</f>
        <v>✅ On Budget</v>
      </c>
      <c r="I40" s="11"/>
      <c r="J40" s="11"/>
    </row>
    <row r="41" ht="15" customHeight="1">
      <c r="A41" s="11"/>
      <c r="B41" s="11"/>
      <c r="C41" s="17"/>
      <c r="D41" s="17"/>
      <c r="E41" s="17"/>
      <c r="F41" s="18"/>
      <c r="G41" s="17" cm="1">
        <f t="array" ref="G41">C41-D41</f>
        <v>0</v>
      </c>
      <c r="H41" t="str" s="11" cm="1">
        <f t="array" ref="H41">IF(D41&lt;=C41,"✅ On Budget","⚠️ Over Budget")</f>
        <v>✅ On Budget</v>
      </c>
      <c r="I41" s="11"/>
      <c r="J41" s="11"/>
    </row>
    <row r="42" ht="15" customHeight="1">
      <c r="A42" s="11"/>
      <c r="B42" s="11"/>
      <c r="C42" s="11"/>
      <c r="D42" s="11"/>
      <c r="E42" s="11"/>
      <c r="F42" s="11"/>
      <c r="G42" s="10" cm="1">
        <f t="array" ref="G42">C42-D42</f>
        <v>0</v>
      </c>
      <c r="H42" t="str" s="11" cm="1">
        <f t="array" ref="H42">IF(D42&lt;=C42,"✅ On Budget","⚠️ Over Budget")</f>
        <v>✅ On Budget</v>
      </c>
      <c r="I42" s="11"/>
      <c r="J42" s="11"/>
    </row>
    <row r="43" ht="15" customHeight="1">
      <c r="A43" s="11"/>
      <c r="B43" s="11"/>
      <c r="C43" s="11"/>
      <c r="D43" s="11"/>
      <c r="E43" s="11"/>
      <c r="F43" s="11"/>
      <c r="G43" s="10" cm="1">
        <f t="array" ref="G43">C43-D43</f>
        <v>0</v>
      </c>
      <c r="H43" t="str" s="11" cm="1">
        <f t="array" ref="H43">IF(D43&lt;=C43,"✅ On Budget","⚠️ Over Budget")</f>
        <v>✅ On Budget</v>
      </c>
      <c r="I43" s="11"/>
      <c r="J43" s="11"/>
    </row>
    <row r="44" ht="15" customHeight="1">
      <c r="A44" s="11"/>
      <c r="B44" s="11"/>
      <c r="C44" s="11"/>
      <c r="D44" s="11"/>
      <c r="E44" s="11"/>
      <c r="F44" s="11"/>
      <c r="G44" s="10" cm="1">
        <f t="array" ref="G44">C44-D44</f>
        <v>0</v>
      </c>
      <c r="H44" t="str" s="11" cm="1">
        <f t="array" ref="H44">IF(D44&lt;=C44,"✅ On Budget","⚠️ Over Budget")</f>
        <v>✅ On Budget</v>
      </c>
      <c r="I44" s="11"/>
      <c r="J44" s="11"/>
    </row>
    <row r="45" ht="15" customHeight="1">
      <c r="A45" s="11"/>
      <c r="B45" s="11"/>
      <c r="C45" s="11"/>
      <c r="D45" s="11"/>
      <c r="E45" s="11"/>
      <c r="F45" s="11"/>
      <c r="G45" s="10" cm="1">
        <f t="array" ref="G45">C45-D45</f>
        <v>0</v>
      </c>
      <c r="H45" t="str" s="11" cm="1">
        <f t="array" ref="H45">IF(D45&lt;=C45,"✅ On Budget","⚠️ Over Budget")</f>
        <v>✅ On Budget</v>
      </c>
      <c r="I45" s="11"/>
      <c r="J45" s="11"/>
    </row>
    <row r="46" ht="15" customHeight="1">
      <c r="A46" s="11"/>
      <c r="B46" s="11"/>
      <c r="C46" s="11"/>
      <c r="D46" s="11"/>
      <c r="E46" s="11"/>
      <c r="F46" s="11"/>
      <c r="G46" s="10" cm="1">
        <f t="array" ref="G46">C46-D46</f>
        <v>0</v>
      </c>
      <c r="H46" t="str" s="11" cm="1">
        <f t="array" ref="H46">IF(D46&lt;=C46,"✅ On Budget","⚠️ Over Budget")</f>
        <v>✅ On Budget</v>
      </c>
      <c r="I46" s="11"/>
      <c r="J46" s="11"/>
    </row>
    <row r="47" ht="15" customHeight="1">
      <c r="A47" s="11"/>
      <c r="B47" s="11"/>
      <c r="C47" s="11"/>
      <c r="D47" s="11"/>
      <c r="E47" s="11"/>
      <c r="F47" s="11"/>
      <c r="G47" s="10" cm="1">
        <f t="array" ref="G47">C47-D47</f>
        <v>0</v>
      </c>
      <c r="H47" t="str" s="11" cm="1">
        <f t="array" ref="H47">IF(D47&lt;=C47,"✅ On Budget","⚠️ Over Budget")</f>
        <v>✅ On Budget</v>
      </c>
      <c r="I47" s="11"/>
      <c r="J47" s="11"/>
    </row>
    <row r="48" ht="15" customHeight="1">
      <c r="A48" s="11"/>
      <c r="B48" s="11"/>
      <c r="C48" s="11"/>
      <c r="D48" s="11"/>
      <c r="E48" s="11"/>
      <c r="F48" s="11"/>
      <c r="G48" s="10" cm="1">
        <f t="array" ref="G48">C48-D48</f>
        <v>0</v>
      </c>
      <c r="H48" t="str" s="11" cm="1">
        <f t="array" ref="H48">IF(D48&lt;=C48,"✅ On Budget","⚠️ Over Budget")</f>
        <v>✅ On Budget</v>
      </c>
      <c r="I48" s="11"/>
      <c r="J48" s="11"/>
    </row>
    <row r="49" ht="15" customHeight="1">
      <c r="A49" s="11"/>
      <c r="B49" s="11"/>
      <c r="C49" s="11"/>
      <c r="D49" s="11"/>
      <c r="E49" s="11"/>
      <c r="F49" s="11"/>
      <c r="G49" s="10" cm="1">
        <f t="array" ref="G49">C49-D49</f>
        <v>0</v>
      </c>
      <c r="H49" t="str" s="11" cm="1">
        <f t="array" ref="H49">IF(D49&lt;=C49,"✅ On Budget","⚠️ Over Budget")</f>
        <v>✅ On Budget</v>
      </c>
      <c r="I49" s="11"/>
      <c r="J49" s="11"/>
    </row>
    <row r="50" ht="15" customHeight="1">
      <c r="A50" s="11"/>
      <c r="B50" s="11"/>
      <c r="C50" s="11"/>
      <c r="D50" s="11"/>
      <c r="E50" s="11"/>
      <c r="F50" s="11"/>
      <c r="G50" s="10" cm="1">
        <f t="array" ref="G50">C50-D50</f>
        <v>0</v>
      </c>
      <c r="H50" t="str" s="11" cm="1">
        <f t="array" ref="H50">IF(D50&lt;=C50,"✅ On Budget","⚠️ Over Budget")</f>
        <v>✅ On Budget</v>
      </c>
      <c r="I50" s="11"/>
      <c r="J50" s="11"/>
    </row>
    <row r="51" ht="15" customHeight="1">
      <c r="A51" s="11"/>
      <c r="B51" s="11"/>
      <c r="C51" s="11"/>
      <c r="D51" s="11"/>
      <c r="E51" s="11"/>
      <c r="F51" s="11"/>
      <c r="G51" s="10" cm="1">
        <f t="array" ref="G51">C51-D51</f>
        <v>0</v>
      </c>
      <c r="H51" t="str" s="11" cm="1">
        <f t="array" ref="H51">IF(D51&lt;=C51,"✅ On Budget","⚠️ Over Budget")</f>
        <v>✅ On Budget</v>
      </c>
      <c r="I51" s="11"/>
      <c r="J51" s="11"/>
    </row>
    <row r="52" ht="15" customHeight="1">
      <c r="A52" s="11"/>
      <c r="B52" s="11"/>
      <c r="C52" s="11"/>
      <c r="D52" s="11"/>
      <c r="E52" s="11"/>
      <c r="F52" s="11"/>
      <c r="G52" s="10" cm="1">
        <f t="array" ref="G52">C52-D52</f>
        <v>0</v>
      </c>
      <c r="H52" t="str" s="11" cm="1">
        <f t="array" ref="H52">IF(D52&lt;=C52,"✅ On Budget","⚠️ Over Budget")</f>
        <v>✅ On Budget</v>
      </c>
      <c r="I52" s="11"/>
      <c r="J52" s="11"/>
    </row>
    <row r="53" ht="15" customHeight="1">
      <c r="A53" s="11"/>
      <c r="B53" s="11"/>
      <c r="C53" s="11"/>
      <c r="D53" s="11"/>
      <c r="E53" s="11"/>
      <c r="F53" s="11"/>
      <c r="G53" s="10" cm="1">
        <f t="array" ref="G53">C53-D53</f>
        <v>0</v>
      </c>
      <c r="H53" t="str" s="11" cm="1">
        <f t="array" ref="H53">IF(D53&lt;=C53,"✅ On Budget","⚠️ Over Budget")</f>
        <v>✅ On Budget</v>
      </c>
      <c r="I53" s="11"/>
      <c r="J53" s="11"/>
    </row>
    <row r="54" ht="15" customHeight="1">
      <c r="A54" s="11"/>
      <c r="B54" s="11"/>
      <c r="C54" s="11"/>
      <c r="D54" s="11"/>
      <c r="E54" s="11"/>
      <c r="F54" s="11"/>
      <c r="G54" s="10" cm="1">
        <f t="array" ref="G54">C54-D54</f>
        <v>0</v>
      </c>
      <c r="H54" t="str" s="11" cm="1">
        <f t="array" ref="H54">IF(D54&lt;=C54,"✅ On Budget","⚠️ Over Budget")</f>
        <v>✅ On Budget</v>
      </c>
      <c r="I54" s="11"/>
      <c r="J54" s="11"/>
    </row>
    <row r="55" ht="15" customHeight="1">
      <c r="A55" s="11"/>
      <c r="B55" s="11"/>
      <c r="C55" s="11"/>
      <c r="D55" s="11"/>
      <c r="E55" s="11"/>
      <c r="F55" s="11"/>
      <c r="G55" s="10" cm="1">
        <f t="array" ref="G55">C55-D55</f>
        <v>0</v>
      </c>
      <c r="H55" t="str" s="11" cm="1">
        <f t="array" ref="H55">IF(D55&lt;=C55,"✅ On Budget","⚠️ Over Budget")</f>
        <v>✅ On Budget</v>
      </c>
      <c r="I55" s="11"/>
      <c r="J55" s="11"/>
    </row>
    <row r="56" ht="15" customHeight="1">
      <c r="A56" s="11"/>
      <c r="B56" s="11"/>
      <c r="C56" s="11"/>
      <c r="D56" s="11"/>
      <c r="E56" s="11"/>
      <c r="F56" s="11"/>
      <c r="G56" s="10" cm="1">
        <f t="array" ref="G56">C56-D56</f>
        <v>0</v>
      </c>
      <c r="H56" t="str" s="11" cm="1">
        <f t="array" ref="H56">IF(D56&lt;=C56,"✅ On Budget","⚠️ Over Budget")</f>
        <v>✅ On Budget</v>
      </c>
      <c r="I56" s="11"/>
      <c r="J56" s="11"/>
    </row>
    <row r="57" ht="15" customHeight="1">
      <c r="A57" s="11"/>
      <c r="B57" s="11"/>
      <c r="C57" s="11"/>
      <c r="D57" s="11"/>
      <c r="E57" s="11"/>
      <c r="F57" s="11"/>
      <c r="G57" s="10" cm="1">
        <f t="array" ref="G57">C57-D57</f>
        <v>0</v>
      </c>
      <c r="H57" t="str" s="11" cm="1">
        <f t="array" ref="H57">IF(D57&lt;=C57,"✅ On Budget","⚠️ Over Budget")</f>
        <v>✅ On Budget</v>
      </c>
      <c r="I57" s="11"/>
      <c r="J57" s="11"/>
    </row>
    <row r="58" ht="15" customHeight="1">
      <c r="A58" s="11"/>
      <c r="B58" s="11"/>
      <c r="C58" s="11"/>
      <c r="D58" s="11"/>
      <c r="E58" s="11"/>
      <c r="F58" s="11"/>
      <c r="G58" s="10" cm="1">
        <f t="array" ref="G58">C58-D58</f>
        <v>0</v>
      </c>
      <c r="H58" t="str" s="11" cm="1">
        <f t="array" ref="H58">IF(D58&lt;=C58,"✅ On Budget","⚠️ Over Budget")</f>
        <v>✅ On Budget</v>
      </c>
      <c r="I58" s="11"/>
      <c r="J58" s="11"/>
    </row>
    <row r="59" ht="15" customHeight="1">
      <c r="A59" s="11"/>
      <c r="B59" s="11"/>
      <c r="C59" s="11"/>
      <c r="D59" s="11"/>
      <c r="E59" s="11"/>
      <c r="F59" s="11"/>
      <c r="G59" s="10" cm="1">
        <f t="array" ref="G59">C59-D59</f>
        <v>0</v>
      </c>
      <c r="H59" t="str" s="11" cm="1">
        <f t="array" ref="H59">IF(D59&lt;=C59,"✅ On Budget","⚠️ Over Budget")</f>
        <v>✅ On Budget</v>
      </c>
      <c r="I59" s="11"/>
      <c r="J59" s="11"/>
    </row>
    <row r="60" ht="15" customHeight="1">
      <c r="A60" s="11"/>
      <c r="B60" s="11"/>
      <c r="C60" s="11"/>
      <c r="D60" s="11"/>
      <c r="E60" s="11"/>
      <c r="F60" s="11"/>
      <c r="G60" s="10" cm="1">
        <f t="array" ref="G60">C60-D60</f>
        <v>0</v>
      </c>
      <c r="H60" t="str" s="11" cm="1">
        <f t="array" ref="H60">IF(D60&lt;=C60,"✅ On Budget","⚠️ Over Budget")</f>
        <v>✅ On Budget</v>
      </c>
      <c r="I60" s="11"/>
      <c r="J60" s="11"/>
    </row>
    <row r="61" ht="15" customHeight="1">
      <c r="A61" s="11"/>
      <c r="B61" s="11"/>
      <c r="C61" s="11"/>
      <c r="D61" s="11"/>
      <c r="E61" s="11"/>
      <c r="F61" s="11"/>
      <c r="G61" s="10" cm="1">
        <f t="array" ref="G61">C61-D61</f>
        <v>0</v>
      </c>
      <c r="H61" t="str" s="11" cm="1">
        <f t="array" ref="H61">IF(D61&lt;=C61,"✅ On Budget","⚠️ Over Budget")</f>
        <v>✅ On Budget</v>
      </c>
      <c r="I61" s="11"/>
      <c r="J61" s="11"/>
    </row>
    <row r="62" ht="15" customHeight="1">
      <c r="A62" s="11"/>
      <c r="B62" s="11"/>
      <c r="C62" s="11"/>
      <c r="D62" s="11"/>
      <c r="E62" s="11"/>
      <c r="F62" s="11"/>
      <c r="G62" s="10" cm="1">
        <f t="array" ref="G62">C62-D62</f>
        <v>0</v>
      </c>
      <c r="H62" t="str" s="11" cm="1">
        <f t="array" ref="H62">IF(D62&lt;=C62,"✅ On Budget","⚠️ Over Budget")</f>
        <v>✅ On Budget</v>
      </c>
      <c r="I62" s="11"/>
      <c r="J62" s="11"/>
    </row>
    <row r="63" ht="15" customHeight="1">
      <c r="A63" s="11"/>
      <c r="B63" s="11"/>
      <c r="C63" s="11"/>
      <c r="D63" s="11"/>
      <c r="E63" s="11"/>
      <c r="F63" s="11"/>
      <c r="G63" s="10" cm="1">
        <f t="array" ref="G63">C63-D63</f>
        <v>0</v>
      </c>
      <c r="H63" t="str" s="11" cm="1">
        <f t="array" ref="H63">IF(D63&lt;=C63,"✅ On Budget","⚠️ Over Budget")</f>
        <v>✅ On Budget</v>
      </c>
      <c r="I63" s="11"/>
      <c r="J63" s="11"/>
    </row>
    <row r="64" ht="15" customHeight="1">
      <c r="A64" s="11"/>
      <c r="B64" s="11"/>
      <c r="C64" s="11"/>
      <c r="D64" s="11"/>
      <c r="E64" s="11"/>
      <c r="F64" s="11"/>
      <c r="G64" s="10" cm="1">
        <f t="array" ref="G64">C64-D64</f>
        <v>0</v>
      </c>
      <c r="H64" t="str" s="11" cm="1">
        <f t="array" ref="H64">IF(D64&lt;=C64,"✅ On Budget","⚠️ Over Budget")</f>
        <v>✅ On Budget</v>
      </c>
      <c r="I64" s="11"/>
      <c r="J64" s="11"/>
    </row>
    <row r="65" ht="15" customHeight="1">
      <c r="A65" s="11"/>
      <c r="B65" s="11"/>
      <c r="C65" s="11"/>
      <c r="D65" s="11"/>
      <c r="E65" s="11"/>
      <c r="F65" s="11"/>
      <c r="G65" s="10" cm="1">
        <f t="array" ref="G65">C65-D65</f>
        <v>0</v>
      </c>
      <c r="H65" t="str" s="11" cm="1">
        <f t="array" ref="H65">IF(D65&lt;=C65,"✅ On Budget","⚠️ Over Budget")</f>
        <v>✅ On Budget</v>
      </c>
      <c r="I65" s="11"/>
      <c r="J65" s="11"/>
    </row>
    <row r="66" ht="15" customHeight="1">
      <c r="A66" s="11"/>
      <c r="B66" s="11"/>
      <c r="C66" s="11"/>
      <c r="D66" s="11"/>
      <c r="E66" s="11"/>
      <c r="F66" s="11"/>
      <c r="G66" s="10" cm="1">
        <f t="array" ref="G66">C66-D66</f>
        <v>0</v>
      </c>
      <c r="H66" t="str" s="11" cm="1">
        <f t="array" ref="H66">IF(D66&lt;=C66,"✅ On Budget","⚠️ Over Budget")</f>
        <v>✅ On Budget</v>
      </c>
      <c r="I66" s="11"/>
      <c r="J66" s="11"/>
    </row>
    <row r="67" ht="15" customHeight="1">
      <c r="A67" s="11"/>
      <c r="B67" s="11"/>
      <c r="C67" s="11"/>
      <c r="D67" s="11"/>
      <c r="E67" s="11"/>
      <c r="F67" s="11"/>
      <c r="G67" s="10" cm="1">
        <f t="array" ref="G67">C67-D67</f>
        <v>0</v>
      </c>
      <c r="H67" t="str" s="11" cm="1">
        <f t="array" ref="H67">IF(D67&lt;=C67,"✅ On Budget","⚠️ Over Budget")</f>
        <v>✅ On Budget</v>
      </c>
      <c r="I67" s="11"/>
      <c r="J67" s="11"/>
    </row>
    <row r="68" ht="15" customHeight="1">
      <c r="A68" s="11"/>
      <c r="B68" s="11"/>
      <c r="C68" s="11"/>
      <c r="D68" s="11"/>
      <c r="E68" s="11"/>
      <c r="F68" s="11"/>
      <c r="G68" s="10" cm="1">
        <f t="array" ref="G68">C68-D68</f>
        <v>0</v>
      </c>
      <c r="H68" t="str" s="11" cm="1">
        <f t="array" ref="H68">IF(D68&lt;=C68,"✅ On Budget","⚠️ Over Budget")</f>
        <v>✅ On Budget</v>
      </c>
      <c r="I68" s="11"/>
      <c r="J68" s="11"/>
    </row>
    <row r="69" ht="15" customHeight="1">
      <c r="A69" s="11"/>
      <c r="B69" s="11"/>
      <c r="C69" s="11"/>
      <c r="D69" s="11"/>
      <c r="E69" s="11"/>
      <c r="F69" s="11"/>
      <c r="G69" s="10" cm="1">
        <f t="array" ref="G69">C69-D69</f>
        <v>0</v>
      </c>
      <c r="H69" t="str" s="11" cm="1">
        <f t="array" ref="H69">IF(D69&lt;=C69,"✅ On Budget","⚠️ Over Budget")</f>
        <v>✅ On Budget</v>
      </c>
      <c r="I69" s="11"/>
      <c r="J69" s="11"/>
    </row>
    <row r="70" ht="15" customHeight="1">
      <c r="A70" s="11"/>
      <c r="B70" s="11"/>
      <c r="C70" s="11"/>
      <c r="D70" s="11"/>
      <c r="E70" s="11"/>
      <c r="F70" s="11"/>
      <c r="G70" s="10" cm="1">
        <f t="array" ref="G70">C70-D70</f>
        <v>0</v>
      </c>
      <c r="H70" t="str" s="11" cm="1">
        <f t="array" ref="H70">IF(D70&lt;=C70,"✅ On Budget","⚠️ Over Budget")</f>
        <v>✅ On Budget</v>
      </c>
      <c r="I70" s="11"/>
      <c r="J70" s="11"/>
    </row>
    <row r="71" ht="15" customHeight="1">
      <c r="A71" s="11"/>
      <c r="B71" s="11"/>
      <c r="C71" s="11"/>
      <c r="D71" s="11"/>
      <c r="E71" s="11"/>
      <c r="F71" s="11"/>
      <c r="G71" s="10" cm="1">
        <f t="array" ref="G71">C71-D71</f>
        <v>0</v>
      </c>
      <c r="H71" t="str" s="11" cm="1">
        <f t="array" ref="H71">IF(D71&lt;=C71,"✅ On Budget","⚠️ Over Budget")</f>
        <v>✅ On Budget</v>
      </c>
      <c r="I71" s="11"/>
      <c r="J71" s="11"/>
    </row>
    <row r="72" ht="15" customHeight="1">
      <c r="A72" s="11"/>
      <c r="B72" s="11"/>
      <c r="C72" s="11"/>
      <c r="D72" s="11"/>
      <c r="E72" s="11"/>
      <c r="F72" s="11"/>
      <c r="G72" s="10" cm="1">
        <f t="array" ref="G72">C72-D72</f>
        <v>0</v>
      </c>
      <c r="H72" t="str" s="11" cm="1">
        <f t="array" ref="H72">IF(D72&lt;=C72,"✅ On Budget","⚠️ Over Budget")</f>
        <v>✅ On Budget</v>
      </c>
      <c r="I72" s="11"/>
      <c r="J72" s="11"/>
    </row>
    <row r="73" ht="15" customHeight="1">
      <c r="A73" s="11"/>
      <c r="B73" s="11"/>
      <c r="C73" s="11"/>
      <c r="D73" s="11"/>
      <c r="E73" s="11"/>
      <c r="F73" s="11"/>
      <c r="G73" s="10" cm="1">
        <f t="array" ref="G73">C73-D73</f>
        <v>0</v>
      </c>
      <c r="H73" t="str" s="11" cm="1">
        <f t="array" ref="H73">IF(D73&lt;=C73,"✅ On Budget","⚠️ Over Budget")</f>
        <v>✅ On Budget</v>
      </c>
      <c r="I73" s="11"/>
      <c r="J73" s="11"/>
    </row>
    <row r="74" ht="15" customHeight="1">
      <c r="A74" s="11"/>
      <c r="B74" s="11"/>
      <c r="C74" s="11"/>
      <c r="D74" s="11"/>
      <c r="E74" s="11"/>
      <c r="F74" s="11"/>
      <c r="G74" s="10" cm="1">
        <f t="array" ref="G74">C74-D74</f>
        <v>0</v>
      </c>
      <c r="H74" t="str" s="11" cm="1">
        <f t="array" ref="H74">IF(D74&lt;=C74,"✅ On Budget","⚠️ Over Budget")</f>
        <v>✅ On Budget</v>
      </c>
      <c r="I74" s="11"/>
      <c r="J74" s="11"/>
    </row>
    <row r="75" ht="15" customHeight="1">
      <c r="A75" s="11"/>
      <c r="B75" s="11"/>
      <c r="C75" s="11"/>
      <c r="D75" s="11"/>
      <c r="E75" s="11"/>
      <c r="F75" s="11"/>
      <c r="G75" s="10" cm="1">
        <f t="array" ref="G75">C75-D75</f>
        <v>0</v>
      </c>
      <c r="H75" t="str" s="11" cm="1">
        <f t="array" ref="H75">IF(D75&lt;=C75,"✅ On Budget","⚠️ Over Budget")</f>
        <v>✅ On Budget</v>
      </c>
      <c r="I75" s="11"/>
      <c r="J75" s="11"/>
    </row>
    <row r="76" ht="15" customHeight="1">
      <c r="A76" s="11"/>
      <c r="B76" s="11"/>
      <c r="C76" s="11"/>
      <c r="D76" s="11"/>
      <c r="E76" s="11"/>
      <c r="F76" s="11"/>
      <c r="G76" s="10" cm="1">
        <f t="array" ref="G76">C76-D76</f>
        <v>0</v>
      </c>
      <c r="H76" t="str" s="11" cm="1">
        <f t="array" ref="H76">IF(D76&lt;=C76,"✅ On Budget","⚠️ Over Budget")</f>
        <v>✅ On Budget</v>
      </c>
      <c r="I76" s="11"/>
      <c r="J76" s="11"/>
    </row>
    <row r="77" ht="15" customHeight="1">
      <c r="A77" s="11"/>
      <c r="B77" s="11"/>
      <c r="C77" s="11"/>
      <c r="D77" s="11"/>
      <c r="E77" s="11"/>
      <c r="F77" s="11"/>
      <c r="G77" s="10" cm="1">
        <f t="array" ref="G77">C77-D77</f>
        <v>0</v>
      </c>
      <c r="H77" t="str" s="11" cm="1">
        <f t="array" ref="H77">IF(D77&lt;=C77,"✅ On Budget","⚠️ Over Budget")</f>
        <v>✅ On Budget</v>
      </c>
      <c r="I77" s="11"/>
      <c r="J77" s="11"/>
    </row>
    <row r="78" ht="15" customHeight="1">
      <c r="A78" s="11"/>
      <c r="B78" s="11"/>
      <c r="C78" s="11"/>
      <c r="D78" s="11"/>
      <c r="E78" s="11"/>
      <c r="F78" s="11"/>
      <c r="G78" s="10" cm="1">
        <f t="array" ref="G78">C78-D78</f>
        <v>0</v>
      </c>
      <c r="H78" t="str" s="11" cm="1">
        <f t="array" ref="H78">IF(D78&lt;=C78,"✅ On Budget","⚠️ Over Budget")</f>
        <v>✅ On Budget</v>
      </c>
      <c r="I78" s="11"/>
      <c r="J78" s="11"/>
    </row>
    <row r="79" ht="15" customHeight="1">
      <c r="A79" s="11"/>
      <c r="B79" s="11"/>
      <c r="C79" s="11"/>
      <c r="D79" s="11"/>
      <c r="E79" s="11"/>
      <c r="F79" s="11"/>
      <c r="G79" s="10" cm="1">
        <f t="array" ref="G79">C79-D79</f>
        <v>0</v>
      </c>
      <c r="H79" t="str" s="11" cm="1">
        <f t="array" ref="H79">IF(D79&lt;=C79,"✅ On Budget","⚠️ Over Budget")</f>
        <v>✅ On Budget</v>
      </c>
      <c r="I79" s="11"/>
      <c r="J79" s="11"/>
    </row>
    <row r="80" ht="15" customHeight="1">
      <c r="A80" s="11"/>
      <c r="B80" s="11"/>
      <c r="C80" s="11"/>
      <c r="D80" s="11"/>
      <c r="E80" s="11"/>
      <c r="F80" s="11"/>
      <c r="G80" s="10" cm="1">
        <f t="array" ref="G80">C80-D80</f>
        <v>0</v>
      </c>
      <c r="H80" t="str" s="11" cm="1">
        <f t="array" ref="H80">IF(D80&lt;=C80,"✅ On Budget","⚠️ Over Budget")</f>
        <v>✅ On Budget</v>
      </c>
      <c r="I80" s="11"/>
      <c r="J80" s="11"/>
    </row>
    <row r="81" ht="15" customHeight="1">
      <c r="A81" s="11"/>
      <c r="B81" s="11"/>
      <c r="C81" s="11"/>
      <c r="D81" s="11"/>
      <c r="E81" s="11"/>
      <c r="F81" s="11"/>
      <c r="G81" s="10" cm="1">
        <f t="array" ref="G81">C81-D81</f>
        <v>0</v>
      </c>
      <c r="H81" t="str" s="11" cm="1">
        <f t="array" ref="H81">IF(D81&lt;=C81,"✅ On Budget","⚠️ Over Budget")</f>
        <v>✅ On Budget</v>
      </c>
      <c r="I81" s="11"/>
      <c r="J81" s="11"/>
    </row>
    <row r="82" ht="15" customHeight="1">
      <c r="A82" s="11"/>
      <c r="B82" s="11"/>
      <c r="C82" s="11"/>
      <c r="D82" s="11"/>
      <c r="E82" s="11"/>
      <c r="F82" s="11"/>
      <c r="G82" s="10" cm="1">
        <f t="array" ref="G82">C82-D82</f>
        <v>0</v>
      </c>
      <c r="H82" t="str" s="11" cm="1">
        <f t="array" ref="H82">IF(D82&lt;=C82,"✅ On Budget","⚠️ Over Budget")</f>
        <v>✅ On Budget</v>
      </c>
      <c r="I82" s="11"/>
      <c r="J82" s="11"/>
    </row>
    <row r="83" ht="15" customHeight="1">
      <c r="A83" s="11"/>
      <c r="B83" s="11"/>
      <c r="C83" s="11"/>
      <c r="D83" s="11"/>
      <c r="E83" s="11"/>
      <c r="F83" s="11"/>
      <c r="G83" s="10" cm="1">
        <f t="array" ref="G83">C83-D83</f>
        <v>0</v>
      </c>
      <c r="H83" t="str" s="11" cm="1">
        <f t="array" ref="H83">IF(D83&lt;=C83,"✅ On Budget","⚠️ Over Budget")</f>
        <v>✅ On Budget</v>
      </c>
      <c r="I83" s="11"/>
      <c r="J83" s="11"/>
    </row>
    <row r="84" ht="15" customHeight="1">
      <c r="A84" s="11"/>
      <c r="B84" s="11"/>
      <c r="C84" s="11"/>
      <c r="D84" s="11"/>
      <c r="E84" s="11"/>
      <c r="F84" s="11"/>
      <c r="G84" s="10" cm="1">
        <f t="array" ref="G84">C84-D84</f>
        <v>0</v>
      </c>
      <c r="H84" t="str" s="11" cm="1">
        <f t="array" ref="H84">IF(D84&lt;=C84,"✅ On Budget","⚠️ Over Budget")</f>
        <v>✅ On Budget</v>
      </c>
      <c r="I84" s="11"/>
      <c r="J84" s="11"/>
    </row>
    <row r="85" ht="15" customHeight="1">
      <c r="A85" s="11"/>
      <c r="B85" s="11"/>
      <c r="C85" s="11"/>
      <c r="D85" s="11"/>
      <c r="E85" s="11"/>
      <c r="F85" s="11"/>
      <c r="G85" s="10" cm="1">
        <f t="array" ref="G85">C85-D85</f>
        <v>0</v>
      </c>
      <c r="H85" t="str" s="11" cm="1">
        <f t="array" ref="H85">IF(D85&lt;=C85,"✅ On Budget","⚠️ Over Budget")</f>
        <v>✅ On Budget</v>
      </c>
      <c r="I85" s="11"/>
      <c r="J85" s="11"/>
    </row>
    <row r="86" ht="15" customHeight="1">
      <c r="A86" s="11"/>
      <c r="B86" s="11"/>
      <c r="C86" s="11"/>
      <c r="D86" s="11"/>
      <c r="E86" s="11"/>
      <c r="F86" s="11"/>
      <c r="G86" s="10" cm="1">
        <f t="array" ref="G86">C86-D86</f>
        <v>0</v>
      </c>
      <c r="H86" t="str" s="11" cm="1">
        <f t="array" ref="H86">IF(D86&lt;=C86,"✅ On Budget","⚠️ Over Budget")</f>
        <v>✅ On Budget</v>
      </c>
      <c r="I86" s="11"/>
      <c r="J86" s="11"/>
    </row>
    <row r="87" ht="15" customHeight="1">
      <c r="A87" s="11"/>
      <c r="B87" s="11"/>
      <c r="C87" s="11"/>
      <c r="D87" s="11"/>
      <c r="E87" s="11"/>
      <c r="F87" s="11"/>
      <c r="G87" s="10" cm="1">
        <f t="array" ref="G87">C87-D87</f>
        <v>0</v>
      </c>
      <c r="H87" t="str" s="11" cm="1">
        <f t="array" ref="H87">IF(D87&lt;=C87,"✅ On Budget","⚠️ Over Budget")</f>
        <v>✅ On Budget</v>
      </c>
      <c r="I87" s="11"/>
      <c r="J87" s="11"/>
    </row>
    <row r="88" ht="15" customHeight="1">
      <c r="A88" s="11"/>
      <c r="B88" s="11"/>
      <c r="C88" s="11"/>
      <c r="D88" s="11"/>
      <c r="E88" s="11"/>
      <c r="F88" s="11"/>
      <c r="G88" s="10" cm="1">
        <f t="array" ref="G88">C88-D88</f>
        <v>0</v>
      </c>
      <c r="H88" t="str" s="11" cm="1">
        <f t="array" ref="H88">IF(D88&lt;=C88,"✅ On Budget","⚠️ Over Budget")</f>
        <v>✅ On Budget</v>
      </c>
      <c r="I88" s="11"/>
      <c r="J88" s="11"/>
    </row>
    <row r="89" ht="15" customHeight="1">
      <c r="A89" s="11"/>
      <c r="B89" s="11"/>
      <c r="C89" s="11"/>
      <c r="D89" s="11"/>
      <c r="E89" s="11"/>
      <c r="F89" s="11"/>
      <c r="G89" s="10" cm="1">
        <f t="array" ref="G89">C89-D89</f>
        <v>0</v>
      </c>
      <c r="H89" t="str" s="11" cm="1">
        <f t="array" ref="H89">IF(D89&lt;=C89,"✅ On Budget","⚠️ Over Budget")</f>
        <v>✅ On Budget</v>
      </c>
      <c r="I89" s="11"/>
      <c r="J89" s="11"/>
    </row>
    <row r="90" ht="15" customHeight="1">
      <c r="A90" s="11"/>
      <c r="B90" s="11"/>
      <c r="C90" s="11"/>
      <c r="D90" s="11"/>
      <c r="E90" s="11"/>
      <c r="F90" s="11"/>
      <c r="G90" s="10" cm="1">
        <f t="array" ref="G90">C90-D90</f>
        <v>0</v>
      </c>
      <c r="H90" t="str" s="11" cm="1">
        <f t="array" ref="H90">IF(D90&lt;=C90,"✅ On Budget","⚠️ Over Budget")</f>
        <v>✅ On Budget</v>
      </c>
      <c r="I90" s="11"/>
      <c r="J90" s="11"/>
    </row>
    <row r="91" ht="15" customHeight="1">
      <c r="A91" s="11"/>
      <c r="B91" s="11"/>
      <c r="C91" s="11"/>
      <c r="D91" s="11"/>
      <c r="E91" s="11"/>
      <c r="F91" s="11"/>
      <c r="G91" s="10" cm="1">
        <f t="array" ref="G91">C91-D91</f>
        <v>0</v>
      </c>
      <c r="H91" t="str" s="11" cm="1">
        <f t="array" ref="H91">IF(D91&lt;=C91,"✅ On Budget","⚠️ Over Budget")</f>
        <v>✅ On Budget</v>
      </c>
      <c r="I91" s="11"/>
      <c r="J91" s="11"/>
    </row>
    <row r="92" ht="15" customHeight="1">
      <c r="A92" s="11"/>
      <c r="B92" s="11"/>
      <c r="C92" s="11"/>
      <c r="D92" s="11"/>
      <c r="E92" s="11"/>
      <c r="F92" s="11"/>
      <c r="G92" s="10" cm="1">
        <f t="array" ref="G92">C92-D92</f>
        <v>0</v>
      </c>
      <c r="H92" t="str" s="11" cm="1">
        <f t="array" ref="H92">IF(D92&lt;=C92,"✅ On Budget","⚠️ Over Budget")</f>
        <v>✅ On Budget</v>
      </c>
      <c r="I92" s="11"/>
      <c r="J92" s="11"/>
    </row>
    <row r="93" ht="15" customHeight="1">
      <c r="A93" s="11"/>
      <c r="B93" s="11"/>
      <c r="C93" s="11"/>
      <c r="D93" s="11"/>
      <c r="E93" s="11"/>
      <c r="F93" s="11"/>
      <c r="G93" s="10" cm="1">
        <f t="array" ref="G93">C93-D93</f>
        <v>0</v>
      </c>
      <c r="H93" t="str" s="11" cm="1">
        <f t="array" ref="H93">IF(D93&lt;=C93,"✅ On Budget","⚠️ Over Budget")</f>
        <v>✅ On Budget</v>
      </c>
      <c r="I93" s="11"/>
      <c r="J93" s="11"/>
    </row>
    <row r="94" ht="15" customHeight="1">
      <c r="A94" s="11"/>
      <c r="B94" s="11"/>
      <c r="C94" s="11"/>
      <c r="D94" s="11"/>
      <c r="E94" s="11"/>
      <c r="F94" s="11"/>
      <c r="G94" s="10" cm="1">
        <f t="array" ref="G94">C94-D94</f>
        <v>0</v>
      </c>
      <c r="H94" t="str" s="11" cm="1">
        <f t="array" ref="H94">IF(D94&lt;=C94,"✅ On Budget","⚠️ Over Budget")</f>
        <v>✅ On Budget</v>
      </c>
      <c r="I94" s="11"/>
      <c r="J94" s="11"/>
    </row>
    <row r="95" ht="15" customHeight="1">
      <c r="A95" s="11"/>
      <c r="B95" s="11"/>
      <c r="C95" s="11"/>
      <c r="D95" s="11"/>
      <c r="E95" s="11"/>
      <c r="F95" s="11"/>
      <c r="G95" s="10" cm="1">
        <f t="array" ref="G95">C95-D95</f>
        <v>0</v>
      </c>
      <c r="H95" t="str" s="11" cm="1">
        <f t="array" ref="H95">IF(D95&lt;=C95,"✅ On Budget","⚠️ Over Budget")</f>
        <v>✅ On Budget</v>
      </c>
      <c r="I95" s="11"/>
      <c r="J95" s="11"/>
    </row>
    <row r="96" ht="15" customHeight="1">
      <c r="A96" s="11"/>
      <c r="B96" s="11"/>
      <c r="C96" s="11"/>
      <c r="D96" s="11"/>
      <c r="E96" s="11"/>
      <c r="F96" s="11"/>
      <c r="G96" s="10" cm="1">
        <f t="array" ref="G96">C96-D96</f>
        <v>0</v>
      </c>
      <c r="H96" t="str" s="11" cm="1">
        <f t="array" ref="H96">IF(D96&lt;=C96,"✅ On Budget","⚠️ Over Budget")</f>
        <v>✅ On Budget</v>
      </c>
      <c r="I96" s="11"/>
      <c r="J96" s="11"/>
    </row>
    <row r="97" ht="15" customHeight="1">
      <c r="A97" s="11"/>
      <c r="B97" s="11"/>
      <c r="C97" s="11"/>
      <c r="D97" s="11"/>
      <c r="E97" s="11"/>
      <c r="F97" s="11"/>
      <c r="G97" s="10" cm="1">
        <f t="array" ref="G97">C97-D97</f>
        <v>0</v>
      </c>
      <c r="H97" t="str" s="11" cm="1">
        <f t="array" ref="H97">IF(D97&lt;=C97,"✅ On Budget","⚠️ Over Budget")</f>
        <v>✅ On Budget</v>
      </c>
      <c r="I97" s="11"/>
      <c r="J97" s="11"/>
    </row>
    <row r="98" ht="15" customHeight="1">
      <c r="A98" s="11"/>
      <c r="B98" s="11"/>
      <c r="C98" s="11"/>
      <c r="D98" s="11"/>
      <c r="E98" s="11"/>
      <c r="F98" s="11"/>
      <c r="G98" s="10" cm="1">
        <f t="array" ref="G98">C98-D98</f>
        <v>0</v>
      </c>
      <c r="H98" t="str" s="11" cm="1">
        <f t="array" ref="H98">IF(D98&lt;=C98,"✅ On Budget","⚠️ Over Budget")</f>
        <v>✅ On Budget</v>
      </c>
      <c r="I98" s="11"/>
      <c r="J98" s="11"/>
    </row>
    <row r="99" ht="15" customHeight="1">
      <c r="A99" s="11"/>
      <c r="B99" s="11"/>
      <c r="C99" s="11"/>
      <c r="D99" s="11"/>
      <c r="E99" s="11"/>
      <c r="F99" s="11"/>
      <c r="G99" s="10" cm="1">
        <f t="array" ref="G99">C99-D99</f>
        <v>0</v>
      </c>
      <c r="H99" t="str" s="11" cm="1">
        <f t="array" ref="H99">IF(D99&lt;=C99,"✅ On Budget","⚠️ Over Budget")</f>
        <v>✅ On Budget</v>
      </c>
      <c r="I99" s="11"/>
      <c r="J99" s="11"/>
    </row>
    <row r="100" ht="15" customHeight="1">
      <c r="A100" s="11"/>
      <c r="B100" s="11"/>
      <c r="C100" s="11"/>
      <c r="D100" s="11"/>
      <c r="E100" s="11"/>
      <c r="F100" s="11"/>
      <c r="G100" s="10" cm="1">
        <f t="array" ref="G100">C100-D100</f>
        <v>0</v>
      </c>
      <c r="H100" t="str" s="11" cm="1">
        <f t="array" ref="H100">IF(D100&lt;=C100,"✅ On Budget","⚠️ Over Budget")</f>
        <v>✅ On Budget</v>
      </c>
      <c r="I100" s="11"/>
      <c r="J100" s="11"/>
    </row>
    <row r="101" ht="15" customHeight="1">
      <c r="A101" s="11"/>
      <c r="B101" s="11"/>
      <c r="C101" s="11"/>
      <c r="D101" s="11"/>
      <c r="E101" s="11"/>
      <c r="F101" s="11"/>
      <c r="G101" s="10" cm="1">
        <f t="array" ref="G101">C101-D101</f>
        <v>0</v>
      </c>
      <c r="H101" t="str" s="11" cm="1">
        <f t="array" ref="H101">IF(D101&lt;=C101,"✅ On Budget","⚠️ Over Budget")</f>
        <v>✅ On Budget</v>
      </c>
      <c r="I101" s="11"/>
      <c r="J101" s="11"/>
    </row>
  </sheetData>
  <conditionalFormatting sqref="E2:E3 C4:E41">
    <cfRule type="cellIs" dxfId="0" priority="1" operator="lessThan" stopIfTrue="1">
      <formula>0</formula>
    </cfRule>
  </conditionalFormatting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J100"/>
  <sheetViews>
    <sheetView workbookViewId="0" showGridLines="0" defaultGridColor="1"/>
  </sheetViews>
  <sheetFormatPr defaultColWidth="8.83333" defaultRowHeight="15" customHeight="1" outlineLevelRow="0" outlineLevelCol="0"/>
  <cols>
    <col min="1" max="1" width="10" style="19" customWidth="1"/>
    <col min="2" max="2" width="6" style="19" customWidth="1"/>
    <col min="3" max="3" width="45" style="19" customWidth="1"/>
    <col min="4" max="4" width="15" style="19" customWidth="1"/>
    <col min="5" max="5" width="10" style="19" customWidth="1"/>
    <col min="6" max="6" width="12" style="19" customWidth="1"/>
    <col min="7" max="7" width="10" style="19" customWidth="1"/>
    <col min="8" max="8" width="11" style="19" customWidth="1"/>
    <col min="9" max="9" width="39.3516" style="19" customWidth="1"/>
    <col min="10" max="10" width="26.3516" style="19" customWidth="1"/>
    <col min="11" max="16384" width="8.85156" style="19" customWidth="1"/>
  </cols>
  <sheetData>
    <row r="1" ht="15" customHeight="1">
      <c r="A1" t="s" s="20">
        <v>0</v>
      </c>
      <c r="B1" t="s" s="21">
        <v>70</v>
      </c>
      <c r="C1" t="s" s="21">
        <v>71</v>
      </c>
      <c r="D1" t="s" s="21">
        <v>72</v>
      </c>
      <c r="E1" t="s" s="21">
        <v>73</v>
      </c>
      <c r="F1" t="s" s="21">
        <v>74</v>
      </c>
      <c r="G1" t="s" s="21">
        <v>3</v>
      </c>
      <c r="H1" t="s" s="21">
        <v>11</v>
      </c>
      <c r="I1" t="s" s="21">
        <v>12</v>
      </c>
      <c r="J1" s="15"/>
    </row>
    <row r="2" ht="15" customHeight="1">
      <c r="A2" s="8"/>
      <c r="B2" s="8"/>
      <c r="C2" t="s" s="5">
        <v>75</v>
      </c>
      <c r="D2" s="7">
        <v>5000</v>
      </c>
      <c r="E2" s="6">
        <v>1</v>
      </c>
      <c r="F2" s="22" cm="1">
        <f t="array" ref="F2">D2*E2</f>
        <v>5000</v>
      </c>
      <c r="G2" s="6">
        <v>5000</v>
      </c>
      <c r="H2" s="16">
        <v>45963</v>
      </c>
      <c r="I2" t="s" s="5">
        <v>76</v>
      </c>
      <c r="J2" s="11"/>
    </row>
    <row r="3" ht="15" customHeight="1">
      <c r="A3" s="11"/>
      <c r="B3" s="11"/>
      <c r="C3" t="s" s="9">
        <v>77</v>
      </c>
      <c r="D3" s="17">
        <v>390</v>
      </c>
      <c r="E3" s="10">
        <v>1</v>
      </c>
      <c r="F3" s="23" cm="1">
        <f t="array" ref="F3">D3*E3</f>
        <v>390</v>
      </c>
      <c r="G3" s="17">
        <v>390</v>
      </c>
      <c r="H3" s="18">
        <v>45965</v>
      </c>
      <c r="I3" t="s" s="9">
        <v>78</v>
      </c>
      <c r="J3" s="11"/>
    </row>
    <row r="4" ht="15" customHeight="1">
      <c r="A4" s="11"/>
      <c r="B4" s="11"/>
      <c r="C4" t="s" s="9">
        <v>79</v>
      </c>
      <c r="D4" s="24">
        <v>416.05</v>
      </c>
      <c r="E4" s="10">
        <v>1</v>
      </c>
      <c r="F4" s="23" cm="1">
        <f t="array" ref="F4">D4*E4</f>
        <v>416.05</v>
      </c>
      <c r="G4" s="24">
        <v>416.05</v>
      </c>
      <c r="H4" s="18">
        <v>45964</v>
      </c>
      <c r="I4" t="s" s="9">
        <v>80</v>
      </c>
      <c r="J4" s="11"/>
    </row>
    <row r="5" ht="15" customHeight="1">
      <c r="A5" s="11"/>
      <c r="B5" s="11"/>
      <c r="C5" t="s" s="9">
        <v>79</v>
      </c>
      <c r="D5" s="17">
        <v>3586</v>
      </c>
      <c r="E5" s="10">
        <v>1</v>
      </c>
      <c r="F5" s="23" cm="1">
        <f t="array" ref="F5">D5*E5</f>
        <v>3586</v>
      </c>
      <c r="G5" s="10">
        <v>3586</v>
      </c>
      <c r="H5" s="18">
        <v>45966</v>
      </c>
      <c r="I5" t="s" s="9">
        <v>81</v>
      </c>
      <c r="J5" s="11"/>
    </row>
    <row r="6" ht="15" customHeight="1">
      <c r="A6" s="11"/>
      <c r="B6" s="11"/>
      <c r="C6" t="s" s="9">
        <v>82</v>
      </c>
      <c r="D6" s="17">
        <v>6000</v>
      </c>
      <c r="E6" s="10">
        <v>1</v>
      </c>
      <c r="F6" s="23" cm="1">
        <f t="array" ref="F6">D6*E6</f>
        <v>6000</v>
      </c>
      <c r="G6" s="17">
        <v>6000</v>
      </c>
      <c r="H6" s="18">
        <v>45968</v>
      </c>
      <c r="I6" t="s" s="9">
        <v>83</v>
      </c>
      <c r="J6" s="11"/>
    </row>
    <row r="7" ht="15" customHeight="1">
      <c r="A7" s="11"/>
      <c r="B7" s="11"/>
      <c r="C7" t="s" s="9">
        <v>84</v>
      </c>
      <c r="D7" s="17">
        <v>336.78</v>
      </c>
      <c r="E7" s="10">
        <v>1</v>
      </c>
      <c r="F7" s="23" cm="1">
        <f t="array" ref="F7">D7*E7</f>
        <v>336.78</v>
      </c>
      <c r="G7" s="17">
        <v>336.78</v>
      </c>
      <c r="H7" s="18">
        <v>45971</v>
      </c>
      <c r="I7" t="s" s="9">
        <v>85</v>
      </c>
      <c r="J7" t="s" s="9">
        <v>86</v>
      </c>
    </row>
    <row r="8" ht="15" customHeight="1">
      <c r="A8" s="11"/>
      <c r="B8" s="11"/>
      <c r="C8" t="s" s="9">
        <v>84</v>
      </c>
      <c r="D8" s="17">
        <v>252</v>
      </c>
      <c r="E8" s="10">
        <v>1</v>
      </c>
      <c r="F8" s="23" cm="1">
        <f t="array" ref="F8">D8*E8</f>
        <v>252</v>
      </c>
      <c r="G8" s="17">
        <v>252</v>
      </c>
      <c r="H8" s="18">
        <v>45971</v>
      </c>
      <c r="I8" t="s" s="9">
        <v>85</v>
      </c>
      <c r="J8" t="s" s="9">
        <v>87</v>
      </c>
    </row>
    <row r="9" ht="15" customHeight="1">
      <c r="A9" s="11"/>
      <c r="B9" s="11"/>
      <c r="C9" t="s" s="9">
        <v>88</v>
      </c>
      <c r="D9" s="17">
        <v>320</v>
      </c>
      <c r="E9" s="10">
        <v>1</v>
      </c>
      <c r="F9" s="23" cm="1">
        <f t="array" ref="F9">D9*E9</f>
        <v>320</v>
      </c>
      <c r="G9" s="17">
        <v>320</v>
      </c>
      <c r="H9" s="18">
        <v>45973</v>
      </c>
      <c r="I9" t="s" s="9">
        <v>89</v>
      </c>
      <c r="J9" s="11"/>
    </row>
    <row r="10" ht="15" customHeight="1">
      <c r="A10" s="11"/>
      <c r="B10" s="11"/>
      <c r="C10" t="s" s="9">
        <v>90</v>
      </c>
      <c r="D10" s="17">
        <v>4000</v>
      </c>
      <c r="E10" s="10">
        <v>1</v>
      </c>
      <c r="F10" s="23" cm="1">
        <f t="array" ref="F10">D10*E10</f>
        <v>4000</v>
      </c>
      <c r="G10" s="17">
        <v>4000</v>
      </c>
      <c r="H10" s="18">
        <v>45975</v>
      </c>
      <c r="I10" t="s" s="9">
        <v>91</v>
      </c>
      <c r="J10" t="s" s="9">
        <v>92</v>
      </c>
    </row>
    <row r="11" ht="15" customHeight="1">
      <c r="A11" s="11"/>
      <c r="B11" s="11"/>
      <c r="C11" t="s" s="9">
        <v>93</v>
      </c>
      <c r="D11" s="17">
        <v>1000</v>
      </c>
      <c r="E11" s="10">
        <v>1</v>
      </c>
      <c r="F11" s="17">
        <v>1000</v>
      </c>
      <c r="G11" s="17">
        <v>1000</v>
      </c>
      <c r="H11" s="18">
        <v>45976</v>
      </c>
      <c r="I11" t="s" s="9">
        <v>91</v>
      </c>
      <c r="J11" t="s" s="9">
        <v>94</v>
      </c>
    </row>
    <row r="12" ht="15" customHeight="1">
      <c r="A12" s="11"/>
      <c r="B12" s="11"/>
      <c r="C12" t="s" s="9">
        <v>95</v>
      </c>
      <c r="D12" s="24">
        <v>655.72</v>
      </c>
      <c r="E12" s="10">
        <v>1</v>
      </c>
      <c r="F12" s="23" cm="1">
        <f t="array" ref="F12">D12*E12</f>
        <v>655.72</v>
      </c>
      <c r="G12" s="24">
        <v>655.72</v>
      </c>
      <c r="H12" s="18">
        <v>45975</v>
      </c>
      <c r="I12" t="s" s="9">
        <v>85</v>
      </c>
      <c r="J12" t="s" s="9">
        <v>96</v>
      </c>
    </row>
    <row r="13" ht="15" customHeight="1">
      <c r="A13" s="11"/>
      <c r="B13" s="11"/>
      <c r="C13" t="s" s="9">
        <v>97</v>
      </c>
      <c r="D13" s="24">
        <v>1829.16</v>
      </c>
      <c r="E13" s="10">
        <v>1</v>
      </c>
      <c r="F13" s="23" cm="1">
        <f t="array" ref="F13">D13*E13</f>
        <v>1829.16</v>
      </c>
      <c r="G13" s="24">
        <v>1829.16</v>
      </c>
      <c r="H13" s="18">
        <v>45975</v>
      </c>
      <c r="I13" t="s" s="9">
        <v>85</v>
      </c>
      <c r="J13" t="s" s="9">
        <v>98</v>
      </c>
    </row>
    <row r="14" ht="15" customHeight="1">
      <c r="A14" s="11"/>
      <c r="B14" s="11"/>
      <c r="C14" t="s" s="9">
        <v>99</v>
      </c>
      <c r="D14" s="17">
        <v>1000</v>
      </c>
      <c r="E14" s="10">
        <v>1</v>
      </c>
      <c r="F14" s="23" cm="1">
        <f t="array" ref="F14">D14*E14</f>
        <v>1000</v>
      </c>
      <c r="G14" s="17">
        <v>1000</v>
      </c>
      <c r="H14" s="18">
        <v>45975</v>
      </c>
      <c r="I14" t="s" s="9">
        <v>91</v>
      </c>
      <c r="J14" s="11"/>
    </row>
    <row r="15" ht="15" customHeight="1">
      <c r="A15" s="11"/>
      <c r="B15" s="11"/>
      <c r="C15" t="s" s="9">
        <v>93</v>
      </c>
      <c r="D15" s="17">
        <v>1000</v>
      </c>
      <c r="E15" s="10">
        <v>1</v>
      </c>
      <c r="F15" s="23" cm="1">
        <f t="array" ref="F15">D15*E15</f>
        <v>1000</v>
      </c>
      <c r="G15" s="17">
        <v>1000</v>
      </c>
      <c r="H15" s="18">
        <v>45983</v>
      </c>
      <c r="I15" t="s" s="9">
        <v>100</v>
      </c>
      <c r="J15" t="s" s="9">
        <v>101</v>
      </c>
    </row>
    <row r="16" ht="15" customHeight="1">
      <c r="A16" s="11"/>
      <c r="B16" s="11"/>
      <c r="C16" t="s" s="9">
        <v>102</v>
      </c>
      <c r="D16" s="24">
        <v>1164.14</v>
      </c>
      <c r="E16" s="10">
        <v>1</v>
      </c>
      <c r="F16" s="23" cm="1">
        <f t="array" ref="F16">D16*E16</f>
        <v>1164.14</v>
      </c>
      <c r="G16" s="24">
        <v>1164.14</v>
      </c>
      <c r="H16" s="18">
        <v>45981</v>
      </c>
      <c r="I16" t="s" s="9">
        <v>103</v>
      </c>
      <c r="J16" s="11"/>
    </row>
    <row r="17" ht="15" customHeight="1">
      <c r="A17" s="11"/>
      <c r="B17" s="11"/>
      <c r="C17" t="s" s="9">
        <v>104</v>
      </c>
      <c r="D17" s="17">
        <v>200</v>
      </c>
      <c r="E17" s="10">
        <v>1</v>
      </c>
      <c r="F17" s="23" cm="1">
        <f t="array" ref="F17">D17*E17</f>
        <v>200</v>
      </c>
      <c r="G17" s="17">
        <v>200</v>
      </c>
      <c r="H17" s="18">
        <v>45980</v>
      </c>
      <c r="I17" t="s" s="9">
        <v>105</v>
      </c>
      <c r="J17" s="11"/>
    </row>
    <row r="18" ht="15" customHeight="1">
      <c r="A18" s="11"/>
      <c r="B18" s="11"/>
      <c r="C18" t="s" s="9">
        <v>106</v>
      </c>
      <c r="D18" s="17">
        <v>1456</v>
      </c>
      <c r="E18" s="10">
        <v>1</v>
      </c>
      <c r="F18" s="23" cm="1">
        <f t="array" ref="F18">D18*E18</f>
        <v>1456</v>
      </c>
      <c r="G18" s="17">
        <v>1456</v>
      </c>
      <c r="H18" s="18">
        <v>45981</v>
      </c>
      <c r="I18" t="s" s="9">
        <v>107</v>
      </c>
      <c r="J18" t="s" s="9">
        <v>108</v>
      </c>
    </row>
    <row r="19" ht="15" customHeight="1">
      <c r="A19" s="11"/>
      <c r="B19" s="11"/>
      <c r="C19" t="s" s="9">
        <v>109</v>
      </c>
      <c r="D19" s="17">
        <v>650</v>
      </c>
      <c r="E19" s="10">
        <v>1</v>
      </c>
      <c r="F19" s="23" cm="1">
        <f t="array" ref="F19">D19*E19</f>
        <v>650</v>
      </c>
      <c r="G19" s="17">
        <v>650</v>
      </c>
      <c r="H19" s="18">
        <v>45982</v>
      </c>
      <c r="I19" t="s" s="9">
        <v>100</v>
      </c>
      <c r="J19" t="s" s="9">
        <v>110</v>
      </c>
    </row>
    <row r="20" ht="15" customHeight="1">
      <c r="A20" s="11"/>
      <c r="B20" s="11"/>
      <c r="C20" t="s" s="9">
        <v>84</v>
      </c>
      <c r="D20" s="24">
        <v>205.38</v>
      </c>
      <c r="E20" s="10">
        <v>1</v>
      </c>
      <c r="F20" s="23" cm="1">
        <f t="array" ref="F20">D20*E20</f>
        <v>205.38</v>
      </c>
      <c r="G20" s="24">
        <v>205.38</v>
      </c>
      <c r="H20" s="18">
        <v>45982</v>
      </c>
      <c r="I20" t="s" s="9">
        <v>111</v>
      </c>
      <c r="J20" t="s" s="9">
        <v>112</v>
      </c>
    </row>
    <row r="21" ht="15" customHeight="1">
      <c r="A21" s="11"/>
      <c r="B21" s="11"/>
      <c r="C21" t="s" s="9">
        <v>113</v>
      </c>
      <c r="D21" s="17">
        <v>500</v>
      </c>
      <c r="E21" s="10">
        <v>1</v>
      </c>
      <c r="F21" s="23" cm="1">
        <f t="array" ref="F21">D21*E21</f>
        <v>500</v>
      </c>
      <c r="G21" s="17">
        <v>500</v>
      </c>
      <c r="H21" s="18">
        <v>45982</v>
      </c>
      <c r="I21" t="s" s="9">
        <v>114</v>
      </c>
      <c r="J21" t="s" s="9">
        <v>115</v>
      </c>
    </row>
    <row r="22" ht="15" customHeight="1">
      <c r="A22" s="11"/>
      <c r="B22" s="11"/>
      <c r="C22" t="s" s="9">
        <v>116</v>
      </c>
      <c r="D22" s="24">
        <v>2221.98</v>
      </c>
      <c r="E22" s="10">
        <v>1</v>
      </c>
      <c r="F22" s="23" cm="1">
        <f t="array" ref="F22">D22*E22</f>
        <v>2221.98</v>
      </c>
      <c r="G22" s="24">
        <v>2221.98</v>
      </c>
      <c r="H22" s="18">
        <v>45982</v>
      </c>
      <c r="I22" t="s" s="9">
        <v>117</v>
      </c>
      <c r="J22" t="s" s="9">
        <v>118</v>
      </c>
    </row>
    <row r="23" ht="15" customHeight="1">
      <c r="A23" s="11"/>
      <c r="B23" s="11"/>
      <c r="C23" t="s" s="9">
        <v>119</v>
      </c>
      <c r="D23" s="17">
        <v>3100</v>
      </c>
      <c r="E23" s="10">
        <v>1</v>
      </c>
      <c r="F23" s="23" cm="1">
        <f t="array" ref="F23">D23*E23</f>
        <v>3100</v>
      </c>
      <c r="G23" s="17">
        <v>3100</v>
      </c>
      <c r="H23" s="18">
        <v>45984</v>
      </c>
      <c r="I23" t="s" s="9">
        <v>107</v>
      </c>
      <c r="J23" t="s" s="9">
        <v>108</v>
      </c>
    </row>
    <row r="24" ht="15" customHeight="1">
      <c r="A24" s="11"/>
      <c r="B24" s="11"/>
      <c r="C24" t="s" s="9">
        <v>84</v>
      </c>
      <c r="D24" s="17">
        <v>189</v>
      </c>
      <c r="E24" s="10">
        <v>1</v>
      </c>
      <c r="F24" s="23" cm="1">
        <f t="array" ref="F24">D24*E24</f>
        <v>189</v>
      </c>
      <c r="G24" s="17">
        <v>189</v>
      </c>
      <c r="H24" s="18">
        <v>45985</v>
      </c>
      <c r="I24" t="s" s="9">
        <v>120</v>
      </c>
      <c r="J24" t="s" s="9">
        <v>121</v>
      </c>
    </row>
    <row r="25" ht="15" customHeight="1">
      <c r="A25" s="11"/>
      <c r="B25" s="11"/>
      <c r="C25" t="s" s="9">
        <v>122</v>
      </c>
      <c r="D25" s="24">
        <v>586.2</v>
      </c>
      <c r="E25" s="10">
        <v>1</v>
      </c>
      <c r="F25" s="23" cm="1">
        <f t="array" ref="F25">D25*E25</f>
        <v>586.2</v>
      </c>
      <c r="G25" s="24">
        <v>586.2</v>
      </c>
      <c r="H25" s="18">
        <v>45986</v>
      </c>
      <c r="I25" t="s" s="9">
        <v>107</v>
      </c>
      <c r="J25" t="s" s="9">
        <v>123</v>
      </c>
    </row>
    <row r="26" ht="15" customHeight="1">
      <c r="A26" s="11"/>
      <c r="B26" s="11"/>
      <c r="C26" t="s" s="9">
        <v>124</v>
      </c>
      <c r="D26" s="24">
        <v>31.98</v>
      </c>
      <c r="E26" s="10">
        <v>1</v>
      </c>
      <c r="F26" s="23" cm="1">
        <f t="array" ref="F26">D26*E26</f>
        <v>31.98</v>
      </c>
      <c r="G26" s="24">
        <v>31.98</v>
      </c>
      <c r="H26" s="18">
        <v>45987</v>
      </c>
      <c r="I26" t="s" s="9">
        <v>125</v>
      </c>
      <c r="J26" t="s" s="9">
        <v>112</v>
      </c>
    </row>
    <row r="27" ht="15" customHeight="1">
      <c r="A27" s="11"/>
      <c r="B27" s="11"/>
      <c r="C27" t="s" s="9">
        <v>126</v>
      </c>
      <c r="D27" s="17">
        <v>132</v>
      </c>
      <c r="E27" s="10">
        <v>1</v>
      </c>
      <c r="F27" s="10">
        <v>132</v>
      </c>
      <c r="G27" s="24">
        <v>132</v>
      </c>
      <c r="H27" s="18">
        <v>45987</v>
      </c>
      <c r="I27" t="s" s="9">
        <v>125</v>
      </c>
      <c r="J27" t="s" s="9">
        <v>127</v>
      </c>
    </row>
    <row r="28" ht="15" customHeight="1">
      <c r="A28" s="11"/>
      <c r="B28" s="11"/>
      <c r="C28" t="s" s="9">
        <v>102</v>
      </c>
      <c r="D28" s="24">
        <v>1272.41</v>
      </c>
      <c r="E28" s="10">
        <v>1</v>
      </c>
      <c r="F28" s="23" cm="1">
        <f t="array" ref="F28">D28*E28</f>
        <v>1272.41</v>
      </c>
      <c r="G28" s="24">
        <v>1272.41</v>
      </c>
      <c r="H28" s="18">
        <v>45987</v>
      </c>
      <c r="I28" t="s" s="9">
        <v>128</v>
      </c>
      <c r="J28" t="s" s="9">
        <v>129</v>
      </c>
    </row>
    <row r="29" ht="15" customHeight="1">
      <c r="A29" s="11"/>
      <c r="B29" s="11"/>
      <c r="C29" t="s" s="9">
        <v>130</v>
      </c>
      <c r="D29" s="17">
        <v>650</v>
      </c>
      <c r="E29" s="10">
        <v>1</v>
      </c>
      <c r="F29" s="10">
        <v>650</v>
      </c>
      <c r="G29" s="24">
        <v>650</v>
      </c>
      <c r="H29" s="18">
        <v>45989</v>
      </c>
      <c r="I29" t="s" s="9">
        <v>78</v>
      </c>
      <c r="J29" s="11"/>
    </row>
    <row r="30" ht="15" customHeight="1">
      <c r="A30" s="11"/>
      <c r="B30" s="11"/>
      <c r="C30" t="s" s="9">
        <v>93</v>
      </c>
      <c r="D30" s="17">
        <v>3000</v>
      </c>
      <c r="E30" s="10">
        <v>1</v>
      </c>
      <c r="F30" s="23" cm="1">
        <f t="array" ref="F30">D30*E30</f>
        <v>3000</v>
      </c>
      <c r="G30" s="17">
        <v>3000</v>
      </c>
      <c r="H30" s="18">
        <v>45989</v>
      </c>
      <c r="I30" t="s" s="9">
        <v>78</v>
      </c>
      <c r="J30" t="s" s="9">
        <v>131</v>
      </c>
    </row>
    <row r="31" ht="15" customHeight="1">
      <c r="A31" s="11"/>
      <c r="B31" s="11"/>
      <c r="C31" t="s" s="9">
        <v>109</v>
      </c>
      <c r="D31" s="17">
        <v>50</v>
      </c>
      <c r="E31" s="10">
        <v>1</v>
      </c>
      <c r="F31" s="23" cm="1">
        <f t="array" ref="F31">D31*E31</f>
        <v>50</v>
      </c>
      <c r="G31" s="24">
        <v>50</v>
      </c>
      <c r="H31" s="18">
        <v>45989</v>
      </c>
      <c r="I31" t="s" s="9">
        <v>125</v>
      </c>
      <c r="J31" t="s" s="9">
        <v>110</v>
      </c>
    </row>
    <row r="32" ht="15" customHeight="1">
      <c r="A32" s="11"/>
      <c r="B32" s="11"/>
      <c r="C32" t="s" s="9">
        <v>132</v>
      </c>
      <c r="D32" s="17">
        <v>426</v>
      </c>
      <c r="E32" s="10">
        <v>1</v>
      </c>
      <c r="F32" s="23" cm="1">
        <f t="array" ref="F32">D32*E32</f>
        <v>426</v>
      </c>
      <c r="G32" s="24">
        <v>426</v>
      </c>
      <c r="H32" s="18">
        <v>45992</v>
      </c>
      <c r="I32" t="s" s="9">
        <v>128</v>
      </c>
      <c r="J32" t="s" s="9">
        <v>133</v>
      </c>
    </row>
    <row r="33" ht="15" customHeight="1">
      <c r="A33" s="11"/>
      <c r="B33" s="11"/>
      <c r="C33" t="s" s="9">
        <v>134</v>
      </c>
      <c r="D33" s="17">
        <v>1917</v>
      </c>
      <c r="E33" s="10">
        <v>1</v>
      </c>
      <c r="F33" s="23" cm="1">
        <f t="array" ref="F33">D33*E33</f>
        <v>1917</v>
      </c>
      <c r="G33" s="24">
        <v>1917</v>
      </c>
      <c r="H33" s="18">
        <v>45992</v>
      </c>
      <c r="I33" t="s" s="9">
        <v>135</v>
      </c>
      <c r="J33" t="s" s="9">
        <v>136</v>
      </c>
    </row>
    <row r="34" ht="15" customHeight="1">
      <c r="A34" s="11"/>
      <c r="B34" s="11"/>
      <c r="C34" t="s" s="9">
        <v>84</v>
      </c>
      <c r="D34" s="24">
        <v>290.84</v>
      </c>
      <c r="E34" s="10">
        <v>1</v>
      </c>
      <c r="F34" s="23" cm="1">
        <f t="array" ref="F34">D34*E34</f>
        <v>290.84</v>
      </c>
      <c r="G34" s="24">
        <v>290.84</v>
      </c>
      <c r="H34" s="18">
        <v>45993</v>
      </c>
      <c r="I34" t="s" s="9">
        <v>137</v>
      </c>
      <c r="J34" t="s" s="9">
        <v>138</v>
      </c>
    </row>
    <row r="35" ht="15" customHeight="1">
      <c r="A35" s="11"/>
      <c r="B35" s="11"/>
      <c r="C35" t="s" s="9">
        <v>139</v>
      </c>
      <c r="D35" s="24">
        <v>131.16</v>
      </c>
      <c r="E35" s="10">
        <v>1</v>
      </c>
      <c r="F35" s="23" cm="1">
        <f t="array" ref="F35">D35*E35</f>
        <v>131.16</v>
      </c>
      <c r="G35" s="24">
        <v>131.16</v>
      </c>
      <c r="H35" s="18">
        <v>45994</v>
      </c>
      <c r="I35" t="s" s="9">
        <v>125</v>
      </c>
      <c r="J35" t="s" s="9">
        <v>140</v>
      </c>
    </row>
    <row r="36" ht="15" customHeight="1">
      <c r="A36" s="11"/>
      <c r="B36" s="11"/>
      <c r="C36" t="s" s="9">
        <v>141</v>
      </c>
      <c r="D36" s="17">
        <v>250</v>
      </c>
      <c r="E36" s="10">
        <v>1</v>
      </c>
      <c r="F36" s="23" cm="1">
        <f t="array" ref="F36">D36*E36</f>
        <v>250</v>
      </c>
      <c r="G36" s="24">
        <v>250</v>
      </c>
      <c r="H36" s="18">
        <v>45996</v>
      </c>
      <c r="I36" t="s" s="9">
        <v>142</v>
      </c>
      <c r="J36" t="s" s="9">
        <v>143</v>
      </c>
    </row>
    <row r="37" ht="15" customHeight="1">
      <c r="A37" s="11"/>
      <c r="B37" s="11"/>
      <c r="C37" t="s" s="9">
        <v>82</v>
      </c>
      <c r="D37" s="17">
        <v>2000</v>
      </c>
      <c r="E37" s="10">
        <v>1</v>
      </c>
      <c r="F37" s="23" cm="1">
        <f t="array" ref="F37">D37*E37</f>
        <v>2000</v>
      </c>
      <c r="G37" s="17">
        <v>2000</v>
      </c>
      <c r="H37" s="18">
        <v>45996</v>
      </c>
      <c r="I37" t="s" s="9">
        <v>78</v>
      </c>
      <c r="J37" t="s" s="9">
        <v>144</v>
      </c>
    </row>
    <row r="38" ht="15" customHeight="1">
      <c r="A38" s="11"/>
      <c r="B38" s="11"/>
      <c r="C38" t="s" s="9">
        <v>145</v>
      </c>
      <c r="D38" s="17">
        <v>70</v>
      </c>
      <c r="E38" s="10">
        <v>1</v>
      </c>
      <c r="F38" s="23" cm="1">
        <f t="array" ref="F38">D38*E38</f>
        <v>70</v>
      </c>
      <c r="G38" s="17">
        <v>70</v>
      </c>
      <c r="H38" s="18">
        <v>45999</v>
      </c>
      <c r="I38" t="s" s="9">
        <v>146</v>
      </c>
      <c r="J38" t="s" s="9">
        <v>147</v>
      </c>
    </row>
    <row r="39" ht="15" customHeight="1">
      <c r="A39" s="11"/>
      <c r="B39" s="11"/>
      <c r="C39" t="s" s="9">
        <v>148</v>
      </c>
      <c r="D39" s="17">
        <v>70</v>
      </c>
      <c r="E39" s="10">
        <v>1</v>
      </c>
      <c r="F39" s="23" cm="1">
        <f t="array" ref="F39">D39*E39</f>
        <v>70</v>
      </c>
      <c r="G39" s="17">
        <v>70</v>
      </c>
      <c r="H39" s="18">
        <v>46000</v>
      </c>
      <c r="I39" t="s" s="9">
        <v>78</v>
      </c>
      <c r="J39" t="s" s="9">
        <v>149</v>
      </c>
    </row>
    <row r="40" ht="15" customHeight="1">
      <c r="A40" s="11"/>
      <c r="B40" s="11"/>
      <c r="C40" t="s" s="9">
        <v>122</v>
      </c>
      <c r="D40" s="24">
        <v>424.32</v>
      </c>
      <c r="E40" s="10">
        <v>1</v>
      </c>
      <c r="F40" s="23" cm="1">
        <f t="array" ref="F40">D40*E40</f>
        <v>424.32</v>
      </c>
      <c r="G40" s="24">
        <v>424.32</v>
      </c>
      <c r="H40" s="18">
        <v>46003</v>
      </c>
      <c r="I40" t="s" s="9">
        <v>128</v>
      </c>
      <c r="J40" t="s" s="9">
        <v>150</v>
      </c>
    </row>
    <row r="41" ht="15" customHeight="1">
      <c r="A41" s="11"/>
      <c r="B41" s="11"/>
      <c r="C41" t="s" s="9">
        <v>151</v>
      </c>
      <c r="D41" s="17">
        <v>490</v>
      </c>
      <c r="E41" s="10">
        <v>1</v>
      </c>
      <c r="F41" s="23" cm="1">
        <f t="array" ref="F41">D41*E41</f>
        <v>490</v>
      </c>
      <c r="G41" s="17">
        <v>490</v>
      </c>
      <c r="H41" s="18">
        <v>46003</v>
      </c>
      <c r="I41" t="s" s="9">
        <v>128</v>
      </c>
      <c r="J41" t="s" s="9">
        <v>151</v>
      </c>
    </row>
    <row r="42" ht="15" customHeight="1">
      <c r="A42" s="11"/>
      <c r="B42" s="11"/>
      <c r="C42" t="s" s="9">
        <v>152</v>
      </c>
      <c r="D42" s="17">
        <v>460</v>
      </c>
      <c r="E42" s="10">
        <v>1</v>
      </c>
      <c r="F42" s="10">
        <v>460</v>
      </c>
      <c r="G42" s="17">
        <v>460</v>
      </c>
      <c r="H42" s="18">
        <v>46003</v>
      </c>
      <c r="I42" t="s" s="9">
        <v>78</v>
      </c>
      <c r="J42" t="s" s="9">
        <v>153</v>
      </c>
    </row>
    <row r="43" ht="15" customHeight="1">
      <c r="A43" s="11"/>
      <c r="B43" s="11"/>
      <c r="C43" t="s" s="9">
        <v>93</v>
      </c>
      <c r="D43" s="17">
        <v>1000</v>
      </c>
      <c r="E43" s="10">
        <v>1</v>
      </c>
      <c r="F43" s="23" cm="1">
        <f t="array" ref="F43">D43*E43</f>
        <v>1000</v>
      </c>
      <c r="G43" s="17">
        <v>1000</v>
      </c>
      <c r="H43" s="18">
        <v>46003</v>
      </c>
      <c r="I43" t="s" s="9">
        <v>78</v>
      </c>
      <c r="J43" t="s" s="9">
        <v>154</v>
      </c>
    </row>
    <row r="44" ht="15" customHeight="1">
      <c r="A44" s="11"/>
      <c r="B44" s="11"/>
      <c r="C44" t="s" s="9">
        <v>75</v>
      </c>
      <c r="D44" s="17">
        <v>2500</v>
      </c>
      <c r="E44" s="10">
        <v>1</v>
      </c>
      <c r="F44" s="23" cm="1">
        <f t="array" ref="F44">D44*E44</f>
        <v>2500</v>
      </c>
      <c r="G44" s="17">
        <v>2500</v>
      </c>
      <c r="H44" s="18">
        <v>45992</v>
      </c>
      <c r="I44" t="s" s="9">
        <v>155</v>
      </c>
      <c r="J44" s="11"/>
    </row>
    <row r="45" ht="15" customHeight="1">
      <c r="A45" s="11"/>
      <c r="B45" s="11"/>
      <c r="C45" t="s" s="9">
        <v>116</v>
      </c>
      <c r="D45" s="17">
        <v>175</v>
      </c>
      <c r="E45" s="10">
        <v>1</v>
      </c>
      <c r="F45" s="23" cm="1">
        <f t="array" ref="F45">D45*E45</f>
        <v>175</v>
      </c>
      <c r="G45" s="17">
        <v>175</v>
      </c>
      <c r="H45" s="18">
        <v>46006</v>
      </c>
      <c r="I45" t="s" s="9">
        <v>107</v>
      </c>
      <c r="J45" t="s" s="9">
        <v>156</v>
      </c>
    </row>
    <row r="46" ht="15" customHeight="1">
      <c r="A46" s="11"/>
      <c r="B46" s="11"/>
      <c r="C46" t="s" s="9">
        <v>157</v>
      </c>
      <c r="D46" s="17">
        <v>2958</v>
      </c>
      <c r="E46" s="10">
        <v>1</v>
      </c>
      <c r="F46" s="23" cm="1">
        <f t="array" ref="F46">D46*E46</f>
        <v>2958</v>
      </c>
      <c r="G46" s="17">
        <v>2958</v>
      </c>
      <c r="H46" s="18">
        <v>46007</v>
      </c>
      <c r="I46" t="s" s="9">
        <v>107</v>
      </c>
      <c r="J46" s="11"/>
    </row>
    <row r="47" ht="15" customHeight="1">
      <c r="A47" s="11"/>
      <c r="B47" s="11"/>
      <c r="C47" t="s" s="9">
        <v>145</v>
      </c>
      <c r="D47" s="17">
        <v>379</v>
      </c>
      <c r="E47" s="10">
        <v>1</v>
      </c>
      <c r="F47" s="23" cm="1">
        <f t="array" ref="F47">D47*E47</f>
        <v>379</v>
      </c>
      <c r="G47" s="17">
        <v>379</v>
      </c>
      <c r="H47" s="18">
        <v>46007</v>
      </c>
      <c r="I47" t="s" s="9">
        <v>107</v>
      </c>
      <c r="J47" s="11"/>
    </row>
    <row r="48" ht="15" customHeight="1">
      <c r="A48" s="11"/>
      <c r="B48" s="11"/>
      <c r="C48" t="s" s="9">
        <v>158</v>
      </c>
      <c r="D48" s="17">
        <v>3450</v>
      </c>
      <c r="E48" s="10">
        <v>1</v>
      </c>
      <c r="F48" s="23" cm="1">
        <f t="array" ref="F48">D48*E48</f>
        <v>3450</v>
      </c>
      <c r="G48" s="17">
        <v>3450</v>
      </c>
      <c r="H48" s="18">
        <v>46008</v>
      </c>
      <c r="I48" t="s" s="9">
        <v>78</v>
      </c>
      <c r="J48" t="s" s="9">
        <v>159</v>
      </c>
    </row>
    <row r="49" ht="15" customHeight="1">
      <c r="A49" s="11"/>
      <c r="B49" s="11"/>
      <c r="C49" t="s" s="9">
        <v>82</v>
      </c>
      <c r="D49" s="17">
        <v>900</v>
      </c>
      <c r="E49" s="10">
        <v>1</v>
      </c>
      <c r="F49" s="23" cm="1">
        <f t="array" ref="F49">D49*E49</f>
        <v>900</v>
      </c>
      <c r="G49" s="17">
        <v>900</v>
      </c>
      <c r="H49" s="18">
        <v>46008</v>
      </c>
      <c r="I49" t="s" s="9">
        <v>78</v>
      </c>
      <c r="J49" s="11"/>
    </row>
    <row r="50" ht="15" customHeight="1">
      <c r="A50" s="11"/>
      <c r="B50" s="11"/>
      <c r="C50" t="s" s="9">
        <v>90</v>
      </c>
      <c r="D50" s="17">
        <v>5130</v>
      </c>
      <c r="E50" s="10">
        <v>1</v>
      </c>
      <c r="F50" s="23" cm="1">
        <f t="array" ref="F50">D50*E50</f>
        <v>5130</v>
      </c>
      <c r="G50" s="17">
        <v>5130</v>
      </c>
      <c r="H50" s="18">
        <v>46013</v>
      </c>
      <c r="I50" t="s" s="9">
        <v>78</v>
      </c>
      <c r="J50" t="s" s="9">
        <v>160</v>
      </c>
    </row>
    <row r="51" ht="15" customHeight="1">
      <c r="A51" s="11"/>
      <c r="B51" s="11"/>
      <c r="C51" t="s" s="9">
        <v>145</v>
      </c>
      <c r="D51" s="17">
        <v>276</v>
      </c>
      <c r="E51" s="10">
        <v>1</v>
      </c>
      <c r="F51" s="23" cm="1">
        <f t="array" ref="F51">D51*E51</f>
        <v>276</v>
      </c>
      <c r="G51" s="17">
        <v>276</v>
      </c>
      <c r="H51" s="18">
        <v>46013</v>
      </c>
      <c r="I51" t="s" s="9">
        <v>161</v>
      </c>
      <c r="J51" t="s" s="9">
        <v>162</v>
      </c>
    </row>
    <row r="52" ht="15" customHeight="1">
      <c r="A52" s="11"/>
      <c r="B52" s="11"/>
      <c r="C52" t="s" s="9">
        <v>93</v>
      </c>
      <c r="D52" s="17">
        <v>1500</v>
      </c>
      <c r="E52" s="10">
        <v>1</v>
      </c>
      <c r="F52" s="23" cm="1">
        <f t="array" ref="F52">D52*E52</f>
        <v>1500</v>
      </c>
      <c r="G52" s="17">
        <v>1500</v>
      </c>
      <c r="H52" s="18">
        <v>46015</v>
      </c>
      <c r="I52" t="s" s="9">
        <v>78</v>
      </c>
      <c r="J52" t="s" s="9">
        <v>163</v>
      </c>
    </row>
    <row r="53" ht="15" customHeight="1">
      <c r="A53" s="11"/>
      <c r="B53" s="11"/>
      <c r="C53" t="s" s="9">
        <v>164</v>
      </c>
      <c r="D53" s="17">
        <v>145</v>
      </c>
      <c r="E53" s="10">
        <v>1</v>
      </c>
      <c r="F53" s="23" cm="1">
        <f t="array" ref="F53">D53*E53</f>
        <v>145</v>
      </c>
      <c r="G53" s="17">
        <v>145</v>
      </c>
      <c r="H53" s="18">
        <v>46031</v>
      </c>
      <c r="I53" t="s" s="9">
        <v>78</v>
      </c>
      <c r="J53" s="11"/>
    </row>
    <row r="54" ht="15" customHeight="1">
      <c r="A54" s="11"/>
      <c r="B54" s="11"/>
      <c r="C54" t="s" s="9">
        <v>93</v>
      </c>
      <c r="D54" s="17">
        <v>500</v>
      </c>
      <c r="E54" s="10">
        <v>1</v>
      </c>
      <c r="F54" s="23" cm="1">
        <f t="array" ref="F54">D54*E54</f>
        <v>500</v>
      </c>
      <c r="G54" s="17">
        <v>500</v>
      </c>
      <c r="H54" s="18">
        <v>46031</v>
      </c>
      <c r="I54" t="s" s="9">
        <v>78</v>
      </c>
      <c r="J54" t="s" s="9">
        <v>165</v>
      </c>
    </row>
    <row r="55" ht="15" customHeight="1">
      <c r="A55" s="11"/>
      <c r="B55" s="11"/>
      <c r="C55" t="s" s="9">
        <v>75</v>
      </c>
      <c r="D55" s="17">
        <v>1000</v>
      </c>
      <c r="E55" s="10">
        <v>1</v>
      </c>
      <c r="F55" s="23" cm="1">
        <f t="array" ref="F55">D55*E55</f>
        <v>1000</v>
      </c>
      <c r="G55" s="17">
        <v>1000</v>
      </c>
      <c r="H55" s="18">
        <v>46031</v>
      </c>
      <c r="I55" t="s" s="9">
        <v>78</v>
      </c>
      <c r="J55" s="11"/>
    </row>
    <row r="56" ht="15" customHeight="1">
      <c r="A56" s="11"/>
      <c r="B56" s="11"/>
      <c r="C56" t="s" s="9">
        <v>166</v>
      </c>
      <c r="D56" s="17">
        <v>900</v>
      </c>
      <c r="E56" s="10">
        <v>1</v>
      </c>
      <c r="F56" s="23" cm="1">
        <f t="array" ref="F56">D56*E56</f>
        <v>900</v>
      </c>
      <c r="G56" s="17">
        <v>900</v>
      </c>
      <c r="H56" s="18">
        <v>46031</v>
      </c>
      <c r="I56" t="s" s="9">
        <v>78</v>
      </c>
      <c r="J56" t="s" s="9">
        <v>167</v>
      </c>
    </row>
    <row r="57" ht="15" customHeight="1">
      <c r="A57" s="11"/>
      <c r="B57" s="11"/>
      <c r="C57" t="s" s="9">
        <v>75</v>
      </c>
      <c r="D57" s="17">
        <v>1500</v>
      </c>
      <c r="E57" s="10">
        <v>1</v>
      </c>
      <c r="F57" s="23" cm="1">
        <f t="array" ref="F57">D57*E57</f>
        <v>1500</v>
      </c>
      <c r="G57" s="17">
        <v>1500</v>
      </c>
      <c r="H57" s="18">
        <v>46047</v>
      </c>
      <c r="I57" t="s" s="9">
        <v>168</v>
      </c>
      <c r="J57" s="11"/>
    </row>
    <row r="58" ht="15" customHeight="1">
      <c r="A58" s="11"/>
      <c r="B58" s="11"/>
      <c r="C58" t="s" s="9">
        <v>169</v>
      </c>
      <c r="D58" s="17">
        <v>2225</v>
      </c>
      <c r="E58" s="10">
        <v>1</v>
      </c>
      <c r="F58" s="23" cm="1">
        <f t="array" ref="F58">D58*E58</f>
        <v>2225</v>
      </c>
      <c r="G58" s="17">
        <v>2225</v>
      </c>
      <c r="H58" s="18">
        <v>46036</v>
      </c>
      <c r="I58" t="s" s="9">
        <v>170</v>
      </c>
      <c r="J58" s="11"/>
    </row>
    <row r="59" ht="15" customHeight="1">
      <c r="A59" s="11"/>
      <c r="B59" s="11"/>
      <c r="C59" t="s" s="9">
        <v>171</v>
      </c>
      <c r="D59" s="17">
        <v>140</v>
      </c>
      <c r="E59" s="10">
        <v>1</v>
      </c>
      <c r="F59" s="23" cm="1">
        <f t="array" ref="F59">D59*E59</f>
        <v>140</v>
      </c>
      <c r="G59" s="17">
        <v>140</v>
      </c>
      <c r="H59" s="18">
        <v>46036</v>
      </c>
      <c r="I59" t="s" s="9">
        <v>172</v>
      </c>
      <c r="J59" s="11"/>
    </row>
    <row r="60" ht="15" customHeight="1">
      <c r="A60" s="11"/>
      <c r="B60" s="11"/>
      <c r="C60" t="s" s="9">
        <v>173</v>
      </c>
      <c r="D60" s="17">
        <v>100</v>
      </c>
      <c r="E60" s="10">
        <v>1</v>
      </c>
      <c r="F60" s="23" cm="1">
        <f t="array" ref="F60">D60*E60</f>
        <v>100</v>
      </c>
      <c r="G60" s="17">
        <v>100</v>
      </c>
      <c r="H60" s="18">
        <v>46038</v>
      </c>
      <c r="I60" t="s" s="9">
        <v>78</v>
      </c>
      <c r="J60" t="s" s="9">
        <v>174</v>
      </c>
    </row>
    <row r="61" ht="15" customHeight="1">
      <c r="A61" s="11"/>
      <c r="B61" s="11"/>
      <c r="C61" t="s" s="9">
        <v>93</v>
      </c>
      <c r="D61" s="17">
        <v>1000</v>
      </c>
      <c r="E61" s="10">
        <v>1</v>
      </c>
      <c r="F61" s="23" cm="1">
        <f t="array" ref="F61">D61*E61</f>
        <v>1000</v>
      </c>
      <c r="G61" s="17">
        <v>1000</v>
      </c>
      <c r="H61" s="18">
        <v>46046</v>
      </c>
      <c r="I61" t="s" s="9">
        <v>78</v>
      </c>
      <c r="J61" t="s" s="9">
        <v>168</v>
      </c>
    </row>
    <row r="62" ht="15" customHeight="1">
      <c r="A62" s="11"/>
      <c r="B62" s="11"/>
      <c r="C62" s="11"/>
      <c r="D62" s="11"/>
      <c r="E62" s="11"/>
      <c r="F62" s="10" cm="1">
        <f t="array" ref="F62">D62*E62</f>
        <v>0</v>
      </c>
      <c r="G62" s="11"/>
      <c r="H62" s="11"/>
      <c r="I62" s="11"/>
      <c r="J62" s="11"/>
    </row>
    <row r="63" ht="15" customHeight="1">
      <c r="A63" s="11"/>
      <c r="B63" s="11"/>
      <c r="C63" s="11"/>
      <c r="D63" s="11"/>
      <c r="E63" s="11"/>
      <c r="F63" s="10" cm="1">
        <f t="array" ref="F63">D63*E63</f>
        <v>0</v>
      </c>
      <c r="G63" s="11"/>
      <c r="H63" s="11"/>
      <c r="I63" s="11"/>
      <c r="J63" s="11"/>
    </row>
    <row r="64" ht="15" customHeight="1">
      <c r="A64" s="11"/>
      <c r="B64" s="11"/>
      <c r="C64" s="11"/>
      <c r="D64" s="11"/>
      <c r="E64" s="11"/>
      <c r="F64" s="10" cm="1">
        <f t="array" ref="F64">D64*E64</f>
        <v>0</v>
      </c>
      <c r="G64" s="11"/>
      <c r="H64" s="11"/>
      <c r="I64" s="11"/>
      <c r="J64" s="11"/>
    </row>
    <row r="65" ht="15" customHeight="1">
      <c r="A65" s="11"/>
      <c r="B65" s="11"/>
      <c r="C65" s="11"/>
      <c r="D65" s="11"/>
      <c r="E65" s="11"/>
      <c r="F65" s="10" cm="1">
        <f t="array" ref="F65">D65*E65</f>
        <v>0</v>
      </c>
      <c r="G65" s="11"/>
      <c r="H65" s="11"/>
      <c r="I65" s="11"/>
      <c r="J65" s="11"/>
    </row>
    <row r="66" ht="15" customHeight="1">
      <c r="A66" s="11"/>
      <c r="B66" s="11"/>
      <c r="C66" s="11"/>
      <c r="D66" s="11"/>
      <c r="E66" s="11"/>
      <c r="F66" s="10" cm="1">
        <f t="array" ref="F66">D66*E66</f>
        <v>0</v>
      </c>
      <c r="G66" s="11"/>
      <c r="H66" s="11"/>
      <c r="I66" s="11"/>
      <c r="J66" s="11"/>
    </row>
    <row r="67" ht="15" customHeight="1">
      <c r="A67" s="11"/>
      <c r="B67" s="11"/>
      <c r="C67" s="11"/>
      <c r="D67" s="11"/>
      <c r="E67" s="11"/>
      <c r="F67" s="10" cm="1">
        <f t="array" ref="F67">D67*E67</f>
        <v>0</v>
      </c>
      <c r="G67" s="11"/>
      <c r="H67" s="11"/>
      <c r="I67" s="11"/>
      <c r="J67" s="11"/>
    </row>
    <row r="68" ht="15" customHeight="1">
      <c r="A68" s="11"/>
      <c r="B68" s="11"/>
      <c r="C68" s="11"/>
      <c r="D68" s="11"/>
      <c r="E68" s="11"/>
      <c r="F68" s="10" cm="1">
        <f t="array" ref="F68">D68*E68</f>
        <v>0</v>
      </c>
      <c r="G68" s="11"/>
      <c r="H68" s="11"/>
      <c r="I68" s="11"/>
      <c r="J68" s="11"/>
    </row>
    <row r="69" ht="15" customHeight="1">
      <c r="A69" s="11"/>
      <c r="B69" s="11"/>
      <c r="C69" s="11"/>
      <c r="D69" s="11"/>
      <c r="E69" s="11"/>
      <c r="F69" s="10" cm="1">
        <f t="array" ref="F69">D69*E69</f>
        <v>0</v>
      </c>
      <c r="G69" s="11"/>
      <c r="H69" s="11"/>
      <c r="I69" s="11"/>
      <c r="J69" s="11"/>
    </row>
    <row r="70" ht="15" customHeight="1">
      <c r="A70" s="11"/>
      <c r="B70" s="11"/>
      <c r="C70" s="11"/>
      <c r="D70" s="11"/>
      <c r="E70" s="11"/>
      <c r="F70" s="10" cm="1">
        <f t="array" ref="F70">D70*E70</f>
        <v>0</v>
      </c>
      <c r="G70" s="11"/>
      <c r="H70" s="11"/>
      <c r="I70" s="11"/>
      <c r="J70" s="11"/>
    </row>
    <row r="71" ht="15" customHeight="1">
      <c r="A71" s="11"/>
      <c r="B71" s="11"/>
      <c r="C71" s="11"/>
      <c r="D71" s="11"/>
      <c r="E71" s="11"/>
      <c r="F71" s="10" cm="1">
        <f t="array" ref="F71">D71*E71</f>
        <v>0</v>
      </c>
      <c r="G71" s="11"/>
      <c r="H71" s="11"/>
      <c r="I71" s="11"/>
      <c r="J71" s="11"/>
    </row>
    <row r="72" ht="15" customHeight="1">
      <c r="A72" s="11"/>
      <c r="B72" s="11"/>
      <c r="C72" s="11"/>
      <c r="D72" s="11"/>
      <c r="E72" s="11"/>
      <c r="F72" s="10" cm="1">
        <f t="array" ref="F72">D72*E72</f>
        <v>0</v>
      </c>
      <c r="G72" s="11"/>
      <c r="H72" s="11"/>
      <c r="I72" s="11"/>
      <c r="J72" s="11"/>
    </row>
    <row r="73" ht="15" customHeight="1">
      <c r="A73" s="11"/>
      <c r="B73" s="11"/>
      <c r="C73" s="11"/>
      <c r="D73" s="11"/>
      <c r="E73" s="11"/>
      <c r="F73" s="10" cm="1">
        <f t="array" ref="F73">D73*E73</f>
        <v>0</v>
      </c>
      <c r="G73" s="11"/>
      <c r="H73" s="11"/>
      <c r="I73" s="11"/>
      <c r="J73" s="11"/>
    </row>
    <row r="74" ht="15" customHeight="1">
      <c r="A74" s="11"/>
      <c r="B74" s="11"/>
      <c r="C74" s="11"/>
      <c r="D74" s="11"/>
      <c r="E74" s="11"/>
      <c r="F74" s="10" cm="1">
        <f t="array" ref="F74">D74*E74</f>
        <v>0</v>
      </c>
      <c r="G74" s="11"/>
      <c r="H74" s="11"/>
      <c r="I74" s="11"/>
      <c r="J74" s="11"/>
    </row>
    <row r="75" ht="15" customHeight="1">
      <c r="A75" s="11"/>
      <c r="B75" s="11"/>
      <c r="C75" s="11"/>
      <c r="D75" s="11"/>
      <c r="E75" s="11"/>
      <c r="F75" s="10" cm="1">
        <f t="array" ref="F75">D75*E75</f>
        <v>0</v>
      </c>
      <c r="G75" s="11"/>
      <c r="H75" s="11"/>
      <c r="I75" s="11"/>
      <c r="J75" s="11"/>
    </row>
    <row r="76" ht="15" customHeight="1">
      <c r="A76" s="11"/>
      <c r="B76" s="11"/>
      <c r="C76" s="11"/>
      <c r="D76" s="11"/>
      <c r="E76" s="11"/>
      <c r="F76" s="10" cm="1">
        <f t="array" ref="F76">D76*E76</f>
        <v>0</v>
      </c>
      <c r="G76" s="11"/>
      <c r="H76" s="11"/>
      <c r="I76" s="11"/>
      <c r="J76" s="11"/>
    </row>
    <row r="77" ht="15" customHeight="1">
      <c r="A77" s="11"/>
      <c r="B77" s="11"/>
      <c r="C77" s="11"/>
      <c r="D77" s="11"/>
      <c r="E77" s="11"/>
      <c r="F77" s="10" cm="1">
        <f t="array" ref="F77">D77*E77</f>
        <v>0</v>
      </c>
      <c r="G77" s="11"/>
      <c r="H77" s="11"/>
      <c r="I77" s="11"/>
      <c r="J77" s="11"/>
    </row>
    <row r="78" ht="15" customHeight="1">
      <c r="A78" s="11"/>
      <c r="B78" s="11"/>
      <c r="C78" s="11"/>
      <c r="D78" s="11"/>
      <c r="E78" s="11"/>
      <c r="F78" s="10" cm="1">
        <f t="array" ref="F78">D78*E78</f>
        <v>0</v>
      </c>
      <c r="G78" s="11"/>
      <c r="H78" s="11"/>
      <c r="I78" s="11"/>
      <c r="J78" s="11"/>
    </row>
    <row r="79" ht="15" customHeight="1">
      <c r="A79" s="11"/>
      <c r="B79" s="11"/>
      <c r="C79" s="11"/>
      <c r="D79" s="11"/>
      <c r="E79" s="11"/>
      <c r="F79" s="10" cm="1">
        <f t="array" ref="F79">D79*E79</f>
        <v>0</v>
      </c>
      <c r="G79" s="11"/>
      <c r="H79" s="11"/>
      <c r="I79" s="11"/>
      <c r="J79" s="11"/>
    </row>
    <row r="80" ht="15" customHeight="1">
      <c r="A80" s="11"/>
      <c r="B80" s="11"/>
      <c r="C80" s="11"/>
      <c r="D80" s="11"/>
      <c r="E80" s="11"/>
      <c r="F80" s="10" cm="1">
        <f t="array" ref="F80">D80*E80</f>
        <v>0</v>
      </c>
      <c r="G80" s="11"/>
      <c r="H80" s="11"/>
      <c r="I80" s="11"/>
      <c r="J80" s="11"/>
    </row>
    <row r="81" ht="15" customHeight="1">
      <c r="A81" s="11"/>
      <c r="B81" s="11"/>
      <c r="C81" s="11"/>
      <c r="D81" s="11"/>
      <c r="E81" s="11"/>
      <c r="F81" s="10" cm="1">
        <f t="array" ref="F81">D81*E81</f>
        <v>0</v>
      </c>
      <c r="G81" s="11"/>
      <c r="H81" s="11"/>
      <c r="I81" s="11"/>
      <c r="J81" s="11"/>
    </row>
    <row r="82" ht="15" customHeight="1">
      <c r="A82" s="11"/>
      <c r="B82" s="11"/>
      <c r="C82" s="11"/>
      <c r="D82" s="11"/>
      <c r="E82" s="11"/>
      <c r="F82" s="10" cm="1">
        <f t="array" ref="F82">D82*E82</f>
        <v>0</v>
      </c>
      <c r="G82" s="11"/>
      <c r="H82" s="11"/>
      <c r="I82" s="11"/>
      <c r="J82" s="11"/>
    </row>
    <row r="83" ht="15" customHeight="1">
      <c r="A83" s="11"/>
      <c r="B83" s="11"/>
      <c r="C83" s="11"/>
      <c r="D83" s="11"/>
      <c r="E83" s="11"/>
      <c r="F83" s="10" cm="1">
        <f t="array" ref="F83">D83*E83</f>
        <v>0</v>
      </c>
      <c r="G83" s="11"/>
      <c r="H83" s="11"/>
      <c r="I83" s="11"/>
      <c r="J83" s="11"/>
    </row>
    <row r="84" ht="15" customHeight="1">
      <c r="A84" s="11"/>
      <c r="B84" s="11"/>
      <c r="C84" s="11"/>
      <c r="D84" s="11"/>
      <c r="E84" s="11"/>
      <c r="F84" s="10" cm="1">
        <f t="array" ref="F84">D84*E84</f>
        <v>0</v>
      </c>
      <c r="G84" s="11"/>
      <c r="H84" s="11"/>
      <c r="I84" s="11"/>
      <c r="J84" s="11"/>
    </row>
    <row r="85" ht="15" customHeight="1">
      <c r="A85" s="11"/>
      <c r="B85" s="11"/>
      <c r="C85" s="11"/>
      <c r="D85" s="11"/>
      <c r="E85" s="11"/>
      <c r="F85" s="10" cm="1">
        <f t="array" ref="F85">D85*E85</f>
        <v>0</v>
      </c>
      <c r="G85" s="11"/>
      <c r="H85" s="11"/>
      <c r="I85" s="11"/>
      <c r="J85" s="11"/>
    </row>
    <row r="86" ht="15" customHeight="1">
      <c r="A86" s="11"/>
      <c r="B86" s="11"/>
      <c r="C86" s="11"/>
      <c r="D86" s="11"/>
      <c r="E86" s="11"/>
      <c r="F86" s="10" cm="1">
        <f t="array" ref="F86">D86*E86</f>
        <v>0</v>
      </c>
      <c r="G86" s="11"/>
      <c r="H86" s="11"/>
      <c r="I86" s="11"/>
      <c r="J86" s="11"/>
    </row>
    <row r="87" ht="15" customHeight="1">
      <c r="A87" s="11"/>
      <c r="B87" s="11"/>
      <c r="C87" s="11"/>
      <c r="D87" s="11"/>
      <c r="E87" s="11"/>
      <c r="F87" s="10" cm="1">
        <f t="array" ref="F87">D87*E87</f>
        <v>0</v>
      </c>
      <c r="G87" s="11"/>
      <c r="H87" s="11"/>
      <c r="I87" s="11"/>
      <c r="J87" s="11"/>
    </row>
    <row r="88" ht="15" customHeight="1">
      <c r="A88" s="11"/>
      <c r="B88" s="11"/>
      <c r="C88" s="11"/>
      <c r="D88" s="11"/>
      <c r="E88" s="11"/>
      <c r="F88" s="10" cm="1">
        <f t="array" ref="F88">D88*E88</f>
        <v>0</v>
      </c>
      <c r="G88" s="11"/>
      <c r="H88" s="11"/>
      <c r="I88" s="11"/>
      <c r="J88" s="11"/>
    </row>
    <row r="89" ht="15" customHeight="1">
      <c r="A89" s="11"/>
      <c r="B89" s="11"/>
      <c r="C89" s="11"/>
      <c r="D89" s="11"/>
      <c r="E89" s="11"/>
      <c r="F89" s="10" cm="1">
        <f t="array" ref="F89">D89*E89</f>
        <v>0</v>
      </c>
      <c r="G89" s="11"/>
      <c r="H89" s="11"/>
      <c r="I89" s="11"/>
      <c r="J89" s="11"/>
    </row>
    <row r="90" ht="15" customHeight="1">
      <c r="A90" s="11"/>
      <c r="B90" s="11"/>
      <c r="C90" s="11"/>
      <c r="D90" s="11"/>
      <c r="E90" s="11"/>
      <c r="F90" s="10" cm="1">
        <f t="array" ref="F90">D90*E90</f>
        <v>0</v>
      </c>
      <c r="G90" s="11"/>
      <c r="H90" s="11"/>
      <c r="I90" s="11"/>
      <c r="J90" s="11"/>
    </row>
    <row r="91" ht="15" customHeight="1">
      <c r="A91" s="11"/>
      <c r="B91" s="11"/>
      <c r="C91" s="11"/>
      <c r="D91" s="11"/>
      <c r="E91" s="11"/>
      <c r="F91" s="10" cm="1">
        <f t="array" ref="F91">D91*E91</f>
        <v>0</v>
      </c>
      <c r="G91" s="11"/>
      <c r="H91" s="11"/>
      <c r="I91" s="11"/>
      <c r="J91" s="11"/>
    </row>
    <row r="92" ht="15" customHeight="1">
      <c r="A92" s="11"/>
      <c r="B92" s="11"/>
      <c r="C92" s="11"/>
      <c r="D92" s="11"/>
      <c r="E92" s="11"/>
      <c r="F92" s="10" cm="1">
        <f t="array" ref="F92">D92*E92</f>
        <v>0</v>
      </c>
      <c r="G92" s="11"/>
      <c r="H92" s="11"/>
      <c r="I92" s="11"/>
      <c r="J92" s="11"/>
    </row>
    <row r="93" ht="15" customHeight="1">
      <c r="A93" s="11"/>
      <c r="B93" s="11"/>
      <c r="C93" s="11"/>
      <c r="D93" s="11"/>
      <c r="E93" s="11"/>
      <c r="F93" s="10" cm="1">
        <f t="array" ref="F93">D93*E93</f>
        <v>0</v>
      </c>
      <c r="G93" s="11"/>
      <c r="H93" s="11"/>
      <c r="I93" s="11"/>
      <c r="J93" s="11"/>
    </row>
    <row r="94" ht="15" customHeight="1">
      <c r="A94" s="11"/>
      <c r="B94" s="11"/>
      <c r="C94" s="11"/>
      <c r="D94" s="11"/>
      <c r="E94" s="11"/>
      <c r="F94" s="10" cm="1">
        <f t="array" ref="F94">D94*E94</f>
        <v>0</v>
      </c>
      <c r="G94" s="11"/>
      <c r="H94" s="11"/>
      <c r="I94" s="11"/>
      <c r="J94" s="11"/>
    </row>
    <row r="95" ht="15" customHeight="1">
      <c r="A95" s="11"/>
      <c r="B95" s="11"/>
      <c r="C95" s="11"/>
      <c r="D95" s="11"/>
      <c r="E95" s="11"/>
      <c r="F95" s="10" cm="1">
        <f t="array" ref="F95">D95*E95</f>
        <v>0</v>
      </c>
      <c r="G95" s="11"/>
      <c r="H95" s="11"/>
      <c r="I95" s="11"/>
      <c r="J95" s="11"/>
    </row>
    <row r="96" ht="15" customHeight="1">
      <c r="A96" s="11"/>
      <c r="B96" s="11"/>
      <c r="C96" s="11"/>
      <c r="D96" s="11"/>
      <c r="E96" s="11"/>
      <c r="F96" s="10" cm="1">
        <f t="array" ref="F96">D96*E96</f>
        <v>0</v>
      </c>
      <c r="G96" s="11"/>
      <c r="H96" s="11"/>
      <c r="I96" s="11"/>
      <c r="J96" s="11"/>
    </row>
    <row r="97" ht="15" customHeight="1">
      <c r="A97" s="11"/>
      <c r="B97" s="11"/>
      <c r="C97" s="11"/>
      <c r="D97" s="11"/>
      <c r="E97" s="11"/>
      <c r="F97" s="10" cm="1">
        <f t="array" ref="F97">D97*E97</f>
        <v>0</v>
      </c>
      <c r="G97" s="11"/>
      <c r="H97" s="11"/>
      <c r="I97" s="11"/>
      <c r="J97" s="11"/>
    </row>
    <row r="98" ht="15" customHeight="1">
      <c r="A98" s="11"/>
      <c r="B98" s="11"/>
      <c r="C98" s="11"/>
      <c r="D98" s="11"/>
      <c r="E98" s="11"/>
      <c r="F98" s="10" cm="1">
        <f t="array" ref="F98">D98*E98</f>
        <v>0</v>
      </c>
      <c r="G98" s="11"/>
      <c r="H98" s="11"/>
      <c r="I98" s="11"/>
      <c r="J98" s="11"/>
    </row>
    <row r="99" ht="15" customHeight="1">
      <c r="A99" s="11"/>
      <c r="B99" s="11"/>
      <c r="C99" s="11"/>
      <c r="D99" s="11"/>
      <c r="E99" s="11"/>
      <c r="F99" s="10" cm="1">
        <f t="array" ref="F99">D99*E99</f>
        <v>0</v>
      </c>
      <c r="G99" s="11"/>
      <c r="H99" s="11"/>
      <c r="I99" s="11"/>
      <c r="J99" s="11"/>
    </row>
    <row r="100" ht="15" customHeight="1">
      <c r="A100" s="11"/>
      <c r="B100" s="11"/>
      <c r="C100" s="11"/>
      <c r="D100" s="11"/>
      <c r="E100" s="11"/>
      <c r="F100" s="10" cm="1">
        <f t="array" ref="F100">D100*E100</f>
        <v>0</v>
      </c>
      <c r="G100" s="11"/>
      <c r="H100" s="11"/>
      <c r="I100" s="11"/>
      <c r="J100" s="11"/>
    </row>
  </sheetData>
  <conditionalFormatting sqref="D2:D11 G3:G4 G6:G10 F11:G11 D12:D19 G12:G61 C20:D20 D21:D61">
    <cfRule type="cellIs" dxfId="1" priority="1" operator="lessThan" stopIfTrue="1">
      <formula>0</formula>
    </cfRule>
  </conditionalFormatting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F11"/>
  <sheetViews>
    <sheetView workbookViewId="0" showGridLines="0" defaultGridColor="1"/>
  </sheetViews>
  <sheetFormatPr defaultColWidth="10.8333" defaultRowHeight="15" customHeight="1" outlineLevelRow="0" outlineLevelCol="0"/>
  <cols>
    <col min="1" max="1" width="39.6719" style="25" customWidth="1"/>
    <col min="2" max="2" width="33" style="25" customWidth="1"/>
    <col min="3" max="6" width="10.8516" style="25" customWidth="1"/>
    <col min="7" max="16384" width="10.8516" style="25" customWidth="1"/>
  </cols>
  <sheetData>
    <row r="1" ht="13.55" customHeight="1">
      <c r="A1" t="s" s="26">
        <v>175</v>
      </c>
      <c r="B1" t="s" s="27">
        <v>176</v>
      </c>
      <c r="C1" s="15"/>
      <c r="D1" s="11"/>
      <c r="E1" s="11"/>
      <c r="F1" s="17"/>
    </row>
    <row r="2" ht="13.55" customHeight="1">
      <c r="A2" s="8"/>
      <c r="B2" s="7"/>
      <c r="C2" s="11"/>
      <c r="D2" s="11"/>
      <c r="E2" s="11"/>
      <c r="F2" s="11"/>
    </row>
    <row r="3" ht="13.55" customHeight="1">
      <c r="A3" s="11"/>
      <c r="B3" s="17"/>
      <c r="C3" s="11"/>
      <c r="D3" s="11"/>
      <c r="E3" s="11"/>
      <c r="F3" s="11"/>
    </row>
    <row r="4" ht="13.55" customHeight="1">
      <c r="A4" s="11"/>
      <c r="B4" s="17"/>
      <c r="C4" s="11"/>
      <c r="D4" s="11"/>
      <c r="E4" s="11"/>
      <c r="F4" s="11"/>
    </row>
    <row r="5" ht="13.55" customHeight="1">
      <c r="A5" s="11"/>
      <c r="B5" s="17"/>
      <c r="C5" s="11"/>
      <c r="D5" s="11"/>
      <c r="E5" s="11"/>
      <c r="F5" s="17"/>
    </row>
    <row r="6" ht="13.55" customHeight="1">
      <c r="A6" t="s" s="9">
        <v>177</v>
      </c>
      <c r="B6" s="17"/>
      <c r="C6" s="11"/>
      <c r="D6" t="s" s="9">
        <v>178</v>
      </c>
      <c r="E6" t="s" s="9">
        <v>179</v>
      </c>
      <c r="F6" t="s" s="9">
        <v>180</v>
      </c>
    </row>
    <row r="7" ht="13.55" customHeight="1">
      <c r="A7" s="11"/>
      <c r="B7" s="17"/>
      <c r="C7" s="11"/>
      <c r="D7" s="11"/>
      <c r="E7" s="11"/>
      <c r="F7" s="11"/>
    </row>
    <row r="8" ht="13.55" customHeight="1">
      <c r="A8" s="11"/>
      <c r="B8" s="17"/>
      <c r="C8" s="11"/>
      <c r="D8" s="11"/>
      <c r="E8" s="11"/>
      <c r="F8" s="11"/>
    </row>
    <row r="9" ht="13.55" customHeight="1">
      <c r="A9" s="11"/>
      <c r="B9" s="17"/>
      <c r="C9" s="11"/>
      <c r="D9" s="11"/>
      <c r="E9" s="11"/>
      <c r="F9" s="11"/>
    </row>
    <row r="10" ht="13.55" customHeight="1">
      <c r="A10" s="11"/>
      <c r="B10" s="17"/>
      <c r="C10" s="11"/>
      <c r="D10" s="11"/>
      <c r="E10" s="11"/>
      <c r="F10" s="11"/>
    </row>
    <row r="11" ht="13.55" customHeight="1">
      <c r="A11" s="11"/>
      <c r="B11" s="17"/>
      <c r="C11" s="11"/>
      <c r="D11" s="11"/>
      <c r="E11" s="11"/>
      <c r="F11" s="11"/>
    </row>
  </sheetData>
  <conditionalFormatting sqref="F1 B2:B11 F5">
    <cfRule type="cellIs" dxfId="2" priority="1" operator="lessThan" stopIfTrue="1">
      <formula>0</formula>
    </cfRule>
  </conditionalFormatting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